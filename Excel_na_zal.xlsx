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N\Downloads\"/>
    </mc:Choice>
  </mc:AlternateContent>
  <bookViews>
    <workbookView xWindow="0" yWindow="0" windowWidth="28800" windowHeight="1231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" l="1"/>
  <c r="V101" i="1"/>
  <c r="X101" i="1" s="1"/>
  <c r="X102" i="1" s="1"/>
  <c r="X103" i="1" s="1"/>
  <c r="X100" i="1"/>
  <c r="T103" i="1"/>
  <c r="S101" i="1"/>
  <c r="R101" i="1"/>
  <c r="T101" i="1" s="1"/>
  <c r="T100" i="1"/>
  <c r="P103" i="1"/>
  <c r="N101" i="1"/>
  <c r="P100" i="1"/>
  <c r="E101" i="1"/>
  <c r="I97" i="1"/>
  <c r="P101" i="1"/>
  <c r="O101" i="1"/>
  <c r="H98" i="1"/>
  <c r="G98" i="1"/>
  <c r="C113" i="1"/>
  <c r="C99" i="1"/>
  <c r="C96" i="1"/>
  <c r="C95" i="1"/>
  <c r="T102" i="1" l="1"/>
  <c r="P102" i="1"/>
  <c r="H111" i="1"/>
  <c r="H108" i="1"/>
  <c r="H105" i="1"/>
  <c r="G87" i="1"/>
  <c r="G88" i="1"/>
  <c r="G90" i="1"/>
  <c r="G91" i="1"/>
  <c r="I98" i="1" l="1"/>
  <c r="C101" i="1"/>
  <c r="B94" i="1"/>
  <c r="K98" i="1" l="1"/>
  <c r="F108" i="1"/>
  <c r="G105" i="1"/>
  <c r="F105" i="1"/>
  <c r="F91" i="1"/>
  <c r="F90" i="1"/>
  <c r="F88" i="1"/>
  <c r="C94" i="1"/>
  <c r="F87" i="1"/>
  <c r="I99" i="1" l="1"/>
  <c r="D101" i="1"/>
  <c r="Q23" i="1"/>
  <c r="P23" i="1"/>
  <c r="Q22" i="1"/>
  <c r="P22" i="1"/>
  <c r="Q20" i="1"/>
  <c r="P20" i="1"/>
  <c r="Q19" i="1"/>
  <c r="P19" i="1"/>
  <c r="Q6" i="1"/>
  <c r="P6" i="1"/>
  <c r="Q5" i="1"/>
  <c r="P5" i="1"/>
  <c r="Q3" i="1"/>
  <c r="P3" i="1"/>
  <c r="Q2" i="1"/>
  <c r="P2" i="1"/>
  <c r="G5" i="1"/>
  <c r="G2" i="1"/>
  <c r="M25" i="1" l="1"/>
  <c r="N25" i="1"/>
  <c r="N26" i="1" s="1"/>
  <c r="M26" i="1" s="1"/>
  <c r="O26" i="1" s="1"/>
  <c r="M29" i="1" s="1"/>
  <c r="M8" i="1"/>
  <c r="N8" i="1"/>
  <c r="C98" i="1" l="1"/>
  <c r="M10" i="1"/>
  <c r="N9" i="1"/>
  <c r="M9" i="1" s="1"/>
  <c r="O9" i="1" s="1"/>
  <c r="M12" i="1" s="1"/>
  <c r="L29" i="1"/>
  <c r="M30" i="1"/>
  <c r="M27" i="1"/>
  <c r="C107" i="1" l="1"/>
  <c r="H107" i="1" s="1"/>
  <c r="H104" i="1"/>
  <c r="C110" i="1"/>
  <c r="D99" i="1"/>
  <c r="E99" i="1" s="1"/>
  <c r="H114" i="1"/>
  <c r="D98" i="1"/>
  <c r="E98" i="1" s="1"/>
  <c r="L12" i="1"/>
  <c r="M13" i="1"/>
  <c r="L30" i="1"/>
  <c r="K30" i="1"/>
  <c r="H110" i="1" l="1"/>
  <c r="J109" i="1" s="1"/>
  <c r="F110" i="1"/>
  <c r="G110" i="1" s="1"/>
  <c r="F113" i="1"/>
  <c r="G113" i="1" s="1"/>
  <c r="J106" i="1"/>
  <c r="H113" i="1"/>
  <c r="G104" i="1"/>
  <c r="F104" i="1"/>
  <c r="F107" i="1"/>
  <c r="G107" i="1" s="1"/>
  <c r="F114" i="1"/>
  <c r="L13" i="1"/>
  <c r="K13" i="1"/>
  <c r="G3" i="1"/>
  <c r="G6" i="1"/>
  <c r="C8" i="1" s="1"/>
  <c r="F3" i="1"/>
  <c r="F5" i="1"/>
  <c r="F6" i="1"/>
  <c r="F2" i="1"/>
  <c r="J112" i="1" l="1"/>
  <c r="J115" i="1" s="1"/>
  <c r="D8" i="1"/>
  <c r="C10" i="1" l="1"/>
  <c r="D9" i="1"/>
  <c r="C9" i="1" s="1"/>
  <c r="E9" i="1" s="1"/>
  <c r="C12" i="1" l="1"/>
  <c r="B12" i="1" s="1"/>
  <c r="C14" i="1"/>
  <c r="B14" i="1" s="1"/>
  <c r="B13" i="1"/>
  <c r="A13" i="1"/>
</calcChain>
</file>

<file path=xl/sharedStrings.xml><?xml version="1.0" encoding="utf-8"?>
<sst xmlns="http://schemas.openxmlformats.org/spreadsheetml/2006/main" count="113" uniqueCount="30">
  <si>
    <t>Punkt początkowy</t>
  </si>
  <si>
    <t>[*]</t>
  </si>
  <si>
    <t>[']</t>
  </si>
  <si>
    <t>Znak</t>
  </si>
  <si>
    <t>szerokosc</t>
  </si>
  <si>
    <t>N</t>
  </si>
  <si>
    <t>dlugosc</t>
  </si>
  <si>
    <t>W</t>
  </si>
  <si>
    <t>E</t>
  </si>
  <si>
    <t>Punkt koncowy</t>
  </si>
  <si>
    <t>Droga  [NM]</t>
  </si>
  <si>
    <t>Poczatkowy kat drogi</t>
  </si>
  <si>
    <t>Końcowy kat drogi</t>
  </si>
  <si>
    <t>Droga po Ortodromie</t>
  </si>
  <si>
    <t>KDp</t>
  </si>
  <si>
    <t>KDk</t>
  </si>
  <si>
    <t>Wierzcholek</t>
  </si>
  <si>
    <t>Stopnie</t>
  </si>
  <si>
    <t>Min</t>
  </si>
  <si>
    <t>Fi</t>
  </si>
  <si>
    <t xml:space="preserve">Lambda </t>
  </si>
  <si>
    <t>Loksodroma dlugosc</t>
  </si>
  <si>
    <t>Kurs</t>
  </si>
  <si>
    <t>Radiany</t>
  </si>
  <si>
    <t>X</t>
  </si>
  <si>
    <t>Droga A-X</t>
  </si>
  <si>
    <t>Y</t>
  </si>
  <si>
    <t>Droga X-Y</t>
  </si>
  <si>
    <t>Droga Y-B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</si>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</sst>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00"/>
    <numFmt numFmtId="166" formatCode="0.0000000"/>
    <numFmt numFmtId="167" formatCode="0.00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1" fillId="2" borderId="0" xfId="1"/>
    <xf numFmtId="0" fontId="2" fillId="0" borderId="0" xfId="0" applyFont="1"/>
    <xf numFmtId="0" fontId="0" fillId="0" borderId="0" xfId="0" applyAlignme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4" fontId="0" fillId="0" borderId="0" xfId="0" applyNumberFormat="1" applyFont="1"/>
    <xf numFmtId="167" fontId="3" fillId="0" borderId="0" xfId="0" applyNumberFormat="1" applyFont="1"/>
    <xf numFmtId="0" fontId="0" fillId="3" borderId="0" xfId="0" applyFill="1"/>
    <xf numFmtId="0" fontId="0" fillId="3" borderId="0" xfId="0" applyFont="1" applyFill="1"/>
    <xf numFmtId="0" fontId="0" fillId="4" borderId="0" xfId="0" applyFill="1"/>
    <xf numFmtId="0" fontId="0" fillId="5" borderId="0" xfId="0" applyFill="1"/>
    <xf numFmtId="166" fontId="0" fillId="5" borderId="0" xfId="0" applyNumberFormat="1" applyFill="1"/>
    <xf numFmtId="165" fontId="0" fillId="5" borderId="0" xfId="0" applyNumberFormat="1" applyFill="1"/>
    <xf numFmtId="164" fontId="0" fillId="5" borderId="0" xfId="0" applyNumberFormat="1" applyFill="1"/>
    <xf numFmtId="1" fontId="0" fillId="5" borderId="0" xfId="0" applyNumberFormat="1" applyFill="1"/>
    <xf numFmtId="0" fontId="0" fillId="5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2">
    <cellStyle name="Normalny" xfId="0" builtinId="0"/>
    <cellStyle name="Zły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8576"/>
  <sheetViews>
    <sheetView tabSelected="1" topLeftCell="A81" workbookViewId="0">
      <selection activeCell="X104" sqref="X104"/>
    </sheetView>
  </sheetViews>
  <sheetFormatPr defaultRowHeight="15" x14ac:dyDescent="0.25"/>
  <cols>
    <col min="1" max="1" width="11.85546875" customWidth="1"/>
    <col min="2" max="2" width="13.7109375" bestFit="1" customWidth="1"/>
    <col min="3" max="3" width="22.140625" bestFit="1" customWidth="1"/>
    <col min="4" max="4" width="9.5703125" bestFit="1" customWidth="1"/>
    <col min="5" max="5" width="10.5703125" bestFit="1" customWidth="1"/>
    <col min="6" max="6" width="10.140625" bestFit="1" customWidth="1"/>
    <col min="11" max="11" width="9.85546875" bestFit="1" customWidth="1"/>
    <col min="12" max="12" width="10.5703125" bestFit="1" customWidth="1"/>
    <col min="14" max="14" width="10.5703125" bestFit="1" customWidth="1"/>
    <col min="18" max="18" width="9.5703125" bestFit="1" customWidth="1"/>
  </cols>
  <sheetData>
    <row r="1" spans="1:17" x14ac:dyDescent="0.25">
      <c r="A1" s="21" t="s">
        <v>0</v>
      </c>
      <c r="B1" s="21"/>
      <c r="C1" t="s">
        <v>1</v>
      </c>
      <c r="D1" t="s">
        <v>2</v>
      </c>
      <c r="E1" t="s">
        <v>3</v>
      </c>
      <c r="K1" s="21" t="s">
        <v>0</v>
      </c>
      <c r="L1" s="21"/>
      <c r="M1" t="s">
        <v>1</v>
      </c>
      <c r="N1" t="s">
        <v>2</v>
      </c>
      <c r="O1" t="s">
        <v>3</v>
      </c>
    </row>
    <row r="2" spans="1:17" x14ac:dyDescent="0.25">
      <c r="A2" s="21" t="s">
        <v>4</v>
      </c>
      <c r="B2" s="21"/>
      <c r="C2">
        <v>10</v>
      </c>
      <c r="D2">
        <v>0</v>
      </c>
      <c r="E2" t="s">
        <v>5</v>
      </c>
      <c r="F2">
        <f>C2+D2/60</f>
        <v>10</v>
      </c>
      <c r="G2">
        <f>IF(E2=E5,RADIANS(C2+D2/60),IF(AND(E2="S",E5="N"),-RADIANS(C2+D2/60),RADIANS(C2+D2/60)))</f>
        <v>0.17453292519943295</v>
      </c>
      <c r="K2" s="21" t="s">
        <v>4</v>
      </c>
      <c r="L2" s="21"/>
      <c r="M2">
        <v>40</v>
      </c>
      <c r="N2">
        <v>0</v>
      </c>
      <c r="O2" t="s">
        <v>5</v>
      </c>
      <c r="P2">
        <f>M2+N2/60</f>
        <v>40</v>
      </c>
      <c r="Q2">
        <f>IF(O2=O5,RADIANS(M2+N2/60),IF(AND(O2="S",O5="N"),-RADIANS(M2+N2/60),RADIANS(M2+N2/60)))</f>
        <v>0.69813170079773179</v>
      </c>
    </row>
    <row r="3" spans="1:17" x14ac:dyDescent="0.25">
      <c r="A3" s="21" t="s">
        <v>6</v>
      </c>
      <c r="B3" s="21"/>
      <c r="C3">
        <v>10</v>
      </c>
      <c r="D3">
        <v>0</v>
      </c>
      <c r="E3" t="s">
        <v>7</v>
      </c>
      <c r="F3">
        <f t="shared" ref="F3:F6" si="0">C3+D3/60</f>
        <v>10</v>
      </c>
      <c r="G3">
        <f t="shared" ref="G3:G6" si="1">RADIANS(C3+D3/60)</f>
        <v>0.17453292519943295</v>
      </c>
      <c r="K3" s="21" t="s">
        <v>6</v>
      </c>
      <c r="L3" s="21"/>
      <c r="M3">
        <v>10</v>
      </c>
      <c r="N3">
        <v>0</v>
      </c>
      <c r="O3" t="s">
        <v>8</v>
      </c>
      <c r="P3">
        <f t="shared" ref="P3" si="2">M3+N3/60</f>
        <v>10</v>
      </c>
      <c r="Q3">
        <f t="shared" ref="Q3" si="3">RADIANS(M3+N3/60)</f>
        <v>0.17453292519943295</v>
      </c>
    </row>
    <row r="4" spans="1:17" x14ac:dyDescent="0.25">
      <c r="A4" s="3" t="s">
        <v>9</v>
      </c>
      <c r="B4" s="3"/>
      <c r="K4" s="3" t="s">
        <v>9</v>
      </c>
      <c r="L4" s="3"/>
    </row>
    <row r="5" spans="1:17" x14ac:dyDescent="0.25">
      <c r="A5" s="21" t="s">
        <v>4</v>
      </c>
      <c r="B5" s="21"/>
      <c r="C5">
        <v>80</v>
      </c>
      <c r="D5">
        <v>0</v>
      </c>
      <c r="E5" t="s">
        <v>5</v>
      </c>
      <c r="F5">
        <f t="shared" si="0"/>
        <v>80</v>
      </c>
      <c r="G5">
        <f>IF(E2=E5,RADIANS(C5+D5/60),IF(AND(E2="S",E5="N"),RADIANS(C5+D5/60),-RADIANS(C5+D5/60)))</f>
        <v>1.3962634015954636</v>
      </c>
      <c r="K5" s="21" t="s">
        <v>4</v>
      </c>
      <c r="L5" s="21"/>
      <c r="M5">
        <v>30</v>
      </c>
      <c r="N5">
        <v>0</v>
      </c>
      <c r="O5" t="s">
        <v>5</v>
      </c>
      <c r="P5">
        <f t="shared" ref="P5:P6" si="4">M5+N5/60</f>
        <v>30</v>
      </c>
      <c r="Q5">
        <f>IF(O2=O5,RADIANS(M5+N5/60),IF(AND(O2="S",O5="N"),RADIANS(M5+N5/60),-RADIANS(M5+N5/60)))</f>
        <v>0.52359877559829882</v>
      </c>
    </row>
    <row r="6" spans="1:17" x14ac:dyDescent="0.25">
      <c r="A6" s="21" t="s">
        <v>6</v>
      </c>
      <c r="B6" s="21"/>
      <c r="C6">
        <v>20</v>
      </c>
      <c r="D6" s="2">
        <v>0</v>
      </c>
      <c r="E6" t="s">
        <v>7</v>
      </c>
      <c r="F6">
        <f t="shared" si="0"/>
        <v>20</v>
      </c>
      <c r="G6">
        <f t="shared" si="1"/>
        <v>0.3490658503988659</v>
      </c>
      <c r="K6" s="21" t="s">
        <v>6</v>
      </c>
      <c r="L6" s="21"/>
      <c r="M6">
        <v>100</v>
      </c>
      <c r="N6" s="2">
        <v>0</v>
      </c>
      <c r="O6" t="s">
        <v>8</v>
      </c>
      <c r="P6">
        <f t="shared" si="4"/>
        <v>100</v>
      </c>
      <c r="Q6">
        <f t="shared" ref="Q6" si="5">RADIANS(M6+N6/60)</f>
        <v>1.7453292519943295</v>
      </c>
    </row>
    <row r="8" spans="1:17" x14ac:dyDescent="0.25">
      <c r="A8" s="21" t="s">
        <v>10</v>
      </c>
      <c r="B8" s="21"/>
      <c r="C8" s="4">
        <f>DEGREES(ACOS(SIN(G2)*SIN(G5)+COS(G2)*COS(G5)*COS(G6-G3)))*60</f>
        <v>4209.4997892631818</v>
      </c>
      <c r="D8">
        <f>ACOS(SIN(G2)*SIN(G5)+COS(G2)*COS(G5)*COS(G6-G3))</f>
        <v>1.2244938530774996</v>
      </c>
      <c r="K8" s="21" t="s">
        <v>10</v>
      </c>
      <c r="L8" s="21"/>
      <c r="M8" s="4">
        <f>DEGREES(ACOS(SIN(Q2)*SIN(Q5)+COS(Q2)*COS(Q5)*COS(Q6-Q3)))*60</f>
        <v>4275.1657649377494</v>
      </c>
      <c r="N8">
        <f>ACOS(SIN(Q2)*SIN(Q5)+COS(Q2)*COS(Q5)*COS(Q6-Q3))</f>
        <v>1.2435953111117615</v>
      </c>
    </row>
    <row r="9" spans="1:17" x14ac:dyDescent="0.25">
      <c r="A9" s="21" t="s">
        <v>11</v>
      </c>
      <c r="B9" s="21"/>
      <c r="C9" s="4">
        <f>IF(D9&lt;0,D9+360,D9)</f>
        <v>358.16296785523269</v>
      </c>
      <c r="D9">
        <f>DEGREES(ASIN(SIN(G3-G6)*COS(G5)*_xlfn.CSC(D8)))</f>
        <v>-1.8370321447673021</v>
      </c>
      <c r="E9">
        <f>RADIANS(C9)</f>
        <v>6.2511230477884236</v>
      </c>
      <c r="K9" s="21" t="s">
        <v>11</v>
      </c>
      <c r="L9" s="21"/>
      <c r="M9" s="4">
        <f>IF(N9&lt;0,N9+360,N9)</f>
        <v>66.141345201541355</v>
      </c>
      <c r="N9">
        <f>DEGREES(ASIN(SIN(Q6-Q3)*COS(Q5)*_xlfn.CSC(N8)))</f>
        <v>66.141345201541355</v>
      </c>
      <c r="O9">
        <f>RADIANS(M9)</f>
        <v>1.154384245465049</v>
      </c>
    </row>
    <row r="10" spans="1:17" x14ac:dyDescent="0.25">
      <c r="A10" s="21" t="s">
        <v>12</v>
      </c>
      <c r="B10" s="21"/>
      <c r="C10" s="4">
        <f>IF(DEGREES(ASIN(SIN(G3-G6))*COS(G2)*_xlfn.CSC(D8))&lt;0,DEGREES(ASIN(SIN(G3-G6))*COS(G2)*_xlfn.CSC(D8))+360,DEGREES(ASIN(SIN(G3-G6))*COS(G2)*_xlfn.CSC(D8))+180)</f>
        <v>349.53038500431808</v>
      </c>
      <c r="K10" s="21" t="s">
        <v>12</v>
      </c>
      <c r="L10" s="21"/>
      <c r="M10" s="4">
        <f>DEGREES(ASIN(SIN(Q3-Q6)*COS(Q2)*_xlfn.CSC(N8)))+180</f>
        <v>126.00521481878653</v>
      </c>
    </row>
    <row r="12" spans="1:17" x14ac:dyDescent="0.25">
      <c r="B12" s="6">
        <f>IF(DEGREES(ACOS(C12))&gt;90,180-DEGREES(ACOS(C12)),DEGREES(ACOS(C12)))</f>
        <v>88.190885851442943</v>
      </c>
      <c r="C12">
        <f>COS(G2)*SIN(E9)</f>
        <v>-3.1569752088506819E-2</v>
      </c>
      <c r="L12" s="7">
        <f>IF(DEGREES(ACOS(M12))&gt;90,180-DEGREES(ACOS(M12)),DEGREES(ACOS(M12)))</f>
        <v>45.526208237761793</v>
      </c>
      <c r="M12">
        <f>COS(Q2)*SIN(O9)</f>
        <v>0.70058293593547727</v>
      </c>
    </row>
    <row r="13" spans="1:17" x14ac:dyDescent="0.25">
      <c r="A13" s="5">
        <f>ROUNDDOWN(B12,0)</f>
        <v>88</v>
      </c>
      <c r="B13" s="4">
        <f>(B12-ROUNDDOWN(B12,0))*60</f>
        <v>11.453151086576554</v>
      </c>
      <c r="C13" t="s">
        <v>5</v>
      </c>
      <c r="K13" s="5">
        <f>ROUNDDOWN(L12,0)</f>
        <v>45</v>
      </c>
      <c r="L13" s="4">
        <f>(L12-ROUNDDOWN(L12,0))*60</f>
        <v>31.572494265707576</v>
      </c>
      <c r="M13" t="str">
        <f>IF(DEGREES(ACOS(M12))&gt;90,"S","N")</f>
        <v>N</v>
      </c>
    </row>
    <row r="14" spans="1:17" x14ac:dyDescent="0.25">
      <c r="B14" s="6">
        <f>DEGREES(_xlfn.ACOT(C14))-90</f>
        <v>0.31910333834673565</v>
      </c>
      <c r="C14">
        <f>SIN(G2)*TAN(E9)</f>
        <v>-5.5694614933767071E-3</v>
      </c>
    </row>
    <row r="18" spans="11:17" x14ac:dyDescent="0.25">
      <c r="K18" s="21" t="s">
        <v>0</v>
      </c>
      <c r="L18" s="21"/>
      <c r="M18" t="s">
        <v>1</v>
      </c>
      <c r="N18" t="s">
        <v>2</v>
      </c>
      <c r="O18" t="s">
        <v>3</v>
      </c>
    </row>
    <row r="19" spans="11:17" x14ac:dyDescent="0.25">
      <c r="K19" s="21" t="s">
        <v>4</v>
      </c>
      <c r="L19" s="21"/>
      <c r="M19">
        <v>50</v>
      </c>
      <c r="N19">
        <v>0</v>
      </c>
      <c r="O19" t="s">
        <v>5</v>
      </c>
      <c r="P19">
        <f>M19+N19/60</f>
        <v>50</v>
      </c>
      <c r="Q19">
        <f>IF(O19=O22,RADIANS(M19+N19/60),IF(AND(O19="S",O22="N"),-RADIANS(M19+N19/60),RADIANS(M19+N19/60)))</f>
        <v>0.87266462599716477</v>
      </c>
    </row>
    <row r="20" spans="11:17" x14ac:dyDescent="0.25">
      <c r="K20" s="21" t="s">
        <v>6</v>
      </c>
      <c r="L20" s="21"/>
      <c r="M20">
        <v>150</v>
      </c>
      <c r="N20">
        <v>0</v>
      </c>
      <c r="O20" t="s">
        <v>7</v>
      </c>
      <c r="P20">
        <f t="shared" ref="P20" si="6">M20+N20/60</f>
        <v>150</v>
      </c>
      <c r="Q20">
        <f t="shared" ref="Q20" si="7">RADIANS(M20+N20/60)</f>
        <v>2.6179938779914944</v>
      </c>
    </row>
    <row r="21" spans="11:17" x14ac:dyDescent="0.25">
      <c r="K21" s="3" t="s">
        <v>9</v>
      </c>
      <c r="L21" s="3"/>
    </row>
    <row r="22" spans="11:17" x14ac:dyDescent="0.25">
      <c r="K22" s="21" t="s">
        <v>4</v>
      </c>
      <c r="L22" s="21"/>
      <c r="M22">
        <v>45</v>
      </c>
      <c r="N22">
        <v>0</v>
      </c>
      <c r="O22" t="s">
        <v>5</v>
      </c>
      <c r="P22">
        <f t="shared" ref="P22:P23" si="8">M22+N22/60</f>
        <v>45</v>
      </c>
      <c r="Q22">
        <f>IF(O19=O22,RADIANS(M22+N22/60),IF(AND(O19="S",O22="N"),RADIANS(M22+N22/60),-RADIANS(M22+N22/60)))</f>
        <v>0.78539816339744828</v>
      </c>
    </row>
    <row r="23" spans="11:17" x14ac:dyDescent="0.25">
      <c r="K23" s="21" t="s">
        <v>6</v>
      </c>
      <c r="L23" s="21"/>
      <c r="M23">
        <v>140</v>
      </c>
      <c r="N23" s="2">
        <v>0</v>
      </c>
      <c r="O23" t="s">
        <v>8</v>
      </c>
      <c r="P23">
        <f t="shared" si="8"/>
        <v>140</v>
      </c>
      <c r="Q23">
        <f t="shared" ref="Q23" si="9">RADIANS(M23+N23/60)</f>
        <v>2.4434609527920612</v>
      </c>
    </row>
    <row r="25" spans="11:17" x14ac:dyDescent="0.25">
      <c r="K25" s="21" t="s">
        <v>10</v>
      </c>
      <c r="L25" s="21"/>
      <c r="M25" s="4">
        <f>DEGREES(ACOS(SIN(Q19)*SIN(Q22)+COS(Q19)*COS(Q22)*COS(Q23-Q20)))*60</f>
        <v>503.59523959029184</v>
      </c>
      <c r="N25">
        <f>ACOS(SIN(Q19)*SIN(Q22)+COS(Q19)*COS(Q22)*COS(Q23-Q20))</f>
        <v>0.14648991713700488</v>
      </c>
    </row>
    <row r="26" spans="11:17" x14ac:dyDescent="0.25">
      <c r="K26" s="21" t="s">
        <v>11</v>
      </c>
      <c r="L26" s="21"/>
      <c r="M26" s="4">
        <f>IF(N26&lt;0,N26+360,N26)</f>
        <v>302.73240720961201</v>
      </c>
      <c r="N26">
        <f>DEGREES(ASIN(SIN(Q23-Q20)*COS(Q22)*_xlfn.CSC(N25)))</f>
        <v>-57.267592790387987</v>
      </c>
      <c r="O26">
        <f>RADIANS(M26)</f>
        <v>5.283677258295949</v>
      </c>
    </row>
    <row r="27" spans="11:17" x14ac:dyDescent="0.25">
      <c r="K27" s="21" t="s">
        <v>12</v>
      </c>
      <c r="L27" s="21"/>
      <c r="M27" s="4">
        <f>DEGREES(ASIN(SIN(Q20-Q23)*COS(Q19)*_xlfn.CSC(N25)))+180</f>
        <v>229.87925979145729</v>
      </c>
    </row>
    <row r="29" spans="11:17" x14ac:dyDescent="0.25">
      <c r="L29" s="7">
        <f>IF(DEGREES(ACOS(M29))&gt;90,180-DEGREES(ACOS(M29)),DEGREES(ACOS(M29)))</f>
        <v>57.267592790387496</v>
      </c>
      <c r="M29">
        <f>COS(Q19)*SIN(O26)</f>
        <v>-0.54071620306093893</v>
      </c>
    </row>
    <row r="30" spans="11:17" x14ac:dyDescent="0.25">
      <c r="K30" s="5">
        <f>ROUNDDOWN(L29,0)</f>
        <v>57</v>
      </c>
      <c r="L30" s="4">
        <f>(L29-ROUNDDOWN(L29,0))*60</f>
        <v>16.055567423249784</v>
      </c>
      <c r="M30" t="str">
        <f>IF(DEGREES(ACOS(M29))&gt;90,"S","N")</f>
        <v>S</v>
      </c>
    </row>
    <row r="86" spans="1:21" x14ac:dyDescent="0.25">
      <c r="A86" s="20" t="s">
        <v>0</v>
      </c>
      <c r="B86" s="20"/>
      <c r="C86" s="2" t="s">
        <v>1</v>
      </c>
      <c r="D86" s="2" t="s">
        <v>2</v>
      </c>
      <c r="E86" s="2" t="s">
        <v>3</v>
      </c>
    </row>
    <row r="87" spans="1:21" x14ac:dyDescent="0.25">
      <c r="A87" s="21" t="s">
        <v>4</v>
      </c>
      <c r="B87" s="21"/>
      <c r="C87" s="11">
        <v>60</v>
      </c>
      <c r="D87" s="11">
        <v>0</v>
      </c>
      <c r="E87" t="s">
        <v>5</v>
      </c>
      <c r="F87">
        <f>C87+D87/60</f>
        <v>60</v>
      </c>
      <c r="G87" s="13">
        <f t="shared" ref="G87:G90" si="10">RADIANS(C87+D87/60)</f>
        <v>1.0471975511965976</v>
      </c>
      <c r="S87" s="10"/>
      <c r="T87" s="5"/>
      <c r="U87" s="4"/>
    </row>
    <row r="88" spans="1:21" x14ac:dyDescent="0.25">
      <c r="A88" s="21" t="s">
        <v>6</v>
      </c>
      <c r="B88" s="21"/>
      <c r="C88" s="11">
        <v>-70</v>
      </c>
      <c r="D88" s="11">
        <v>0</v>
      </c>
      <c r="E88" t="s">
        <v>7</v>
      </c>
      <c r="F88">
        <f t="shared" ref="F88" si="11">C88+D88/60</f>
        <v>-70</v>
      </c>
      <c r="G88" s="13">
        <f t="shared" si="10"/>
        <v>-1.2217304763960306</v>
      </c>
      <c r="S88" s="10"/>
      <c r="T88" s="5"/>
      <c r="U88" s="4"/>
    </row>
    <row r="89" spans="1:21" x14ac:dyDescent="0.25">
      <c r="A89" s="20" t="s">
        <v>9</v>
      </c>
      <c r="B89" s="20"/>
      <c r="S89" s="10"/>
      <c r="T89" s="5"/>
      <c r="U89" s="4"/>
    </row>
    <row r="90" spans="1:21" x14ac:dyDescent="0.25">
      <c r="A90" s="21" t="s">
        <v>4</v>
      </c>
      <c r="B90" s="21"/>
      <c r="C90" s="11">
        <v>55</v>
      </c>
      <c r="D90" s="11">
        <v>0</v>
      </c>
      <c r="E90" t="s">
        <v>5</v>
      </c>
      <c r="F90">
        <f t="shared" ref="F90:F91" si="12">C90+D90/60</f>
        <v>55</v>
      </c>
      <c r="G90" s="13">
        <f t="shared" si="10"/>
        <v>0.95993108859688125</v>
      </c>
      <c r="S90" s="10"/>
      <c r="T90" s="5"/>
      <c r="U90" s="4"/>
    </row>
    <row r="91" spans="1:21" x14ac:dyDescent="0.25">
      <c r="A91" s="21" t="s">
        <v>6</v>
      </c>
      <c r="B91" s="21"/>
      <c r="C91" s="11">
        <v>-10</v>
      </c>
      <c r="D91" s="12">
        <v>0</v>
      </c>
      <c r="E91" t="s">
        <v>8</v>
      </c>
      <c r="F91">
        <f t="shared" si="12"/>
        <v>-10</v>
      </c>
      <c r="G91" s="13">
        <f>RADIANS(C91+D91/60)</f>
        <v>-0.17453292519943295</v>
      </c>
      <c r="S91" s="10"/>
      <c r="T91" s="5"/>
      <c r="U91" s="4"/>
    </row>
    <row r="92" spans="1:21" x14ac:dyDescent="0.25">
      <c r="S92" s="10"/>
      <c r="T92" s="5"/>
      <c r="U92" s="4"/>
    </row>
    <row r="93" spans="1:21" x14ac:dyDescent="0.25">
      <c r="C93" s="2" t="s">
        <v>13</v>
      </c>
      <c r="S93" s="10"/>
      <c r="T93" s="5"/>
      <c r="U93" s="4"/>
    </row>
    <row r="94" spans="1:21" x14ac:dyDescent="0.25">
      <c r="B94" s="4">
        <f>ACOS(SIN(G87)*SIN(G90)+COS(G87)*COS(G90)*COS(G91-G88))</f>
        <v>0.54947160375159321</v>
      </c>
      <c r="C94" s="14">
        <f>DEGREES(ACOS(SIN(G87)*SIN(G90)+COS(G87)*COS(G90)*COS(G91-G88)))*60</f>
        <v>1888.9442314350613</v>
      </c>
      <c r="S94" s="10"/>
      <c r="T94" s="5"/>
      <c r="U94" s="4"/>
    </row>
    <row r="95" spans="1:21" x14ac:dyDescent="0.25">
      <c r="B95" s="2" t="s">
        <v>14</v>
      </c>
      <c r="C95" s="15">
        <f>DEGREES(ASIN(SIN((G91-G88))*COS(G90)/SIN(B94)))</f>
        <v>72.019594959291112</v>
      </c>
      <c r="S95" s="10"/>
      <c r="T95" s="5"/>
      <c r="U95" s="4"/>
    </row>
    <row r="96" spans="1:21" x14ac:dyDescent="0.25">
      <c r="B96" s="2" t="s">
        <v>15</v>
      </c>
      <c r="C96" s="16">
        <f>180-DEGREES(ASIN(SIN((G91-G88))*COS(G87)/SIN(B94)))</f>
        <v>123.98844850091034</v>
      </c>
      <c r="S96" s="10"/>
      <c r="T96" s="5"/>
      <c r="U96" s="4"/>
    </row>
    <row r="97" spans="1:24" x14ac:dyDescent="0.25">
      <c r="C97" s="2" t="s">
        <v>16</v>
      </c>
      <c r="D97" s="2" t="s">
        <v>17</v>
      </c>
      <c r="E97" s="2" t="s">
        <v>18</v>
      </c>
      <c r="G97" s="22"/>
      <c r="H97" s="22"/>
      <c r="I97" s="22">
        <f>(F87-F90)*60</f>
        <v>300</v>
      </c>
      <c r="J97" s="22"/>
      <c r="K97" s="22"/>
      <c r="L97" s="22"/>
      <c r="S97" s="10"/>
      <c r="T97" s="5"/>
      <c r="U97" s="4"/>
    </row>
    <row r="98" spans="1:24" x14ac:dyDescent="0.25">
      <c r="B98" s="2" t="s">
        <v>19</v>
      </c>
      <c r="C98" s="14">
        <f>DEGREES(ACOS(ABS(COS(G87)*SIN(RADIANS(C95)))))</f>
        <v>61.602809708243164</v>
      </c>
      <c r="D98" s="14">
        <f>ROUNDDOWN(C98,0)</f>
        <v>61</v>
      </c>
      <c r="E98" s="17">
        <f>(C98-D98)*60</f>
        <v>36.168582494589856</v>
      </c>
      <c r="G98" s="22">
        <f>-(C88-C91)*60</f>
        <v>3600</v>
      </c>
      <c r="H98" s="22">
        <f>COS((G90+G87)/2)</f>
        <v>0.53729960834682389</v>
      </c>
      <c r="I98" s="22">
        <f>G98*H98</f>
        <v>1934.278590048566</v>
      </c>
      <c r="J98" s="22"/>
      <c r="K98" s="22">
        <f>ACOS((I98/C101))</f>
        <v>0.15387061583094308</v>
      </c>
      <c r="L98" s="22"/>
      <c r="W98" s="4"/>
    </row>
    <row r="99" spans="1:24" x14ac:dyDescent="0.25">
      <c r="B99" s="2" t="s">
        <v>20</v>
      </c>
      <c r="C99" s="14">
        <f>C88+DEGREES(_xlfn.ACOT(SIN(G87)*TAN(RADIANS(C95))))</f>
        <v>-49.456594076789209</v>
      </c>
      <c r="D99" s="14">
        <f>ROUNDDOWN(C99,0)</f>
        <v>-49</v>
      </c>
      <c r="E99" s="17">
        <f>(C99-D99)*60</f>
        <v>-27.395644607352523</v>
      </c>
      <c r="G99" s="22"/>
      <c r="H99" s="22"/>
      <c r="I99" s="22">
        <f>(I98/I97)</f>
        <v>6.4475953001618871</v>
      </c>
      <c r="J99" s="22"/>
      <c r="K99" s="22"/>
      <c r="L99" s="22"/>
    </row>
    <row r="100" spans="1:24" x14ac:dyDescent="0.25">
      <c r="C100" s="2" t="s">
        <v>21</v>
      </c>
      <c r="D100" s="2"/>
      <c r="E100" s="2" t="s">
        <v>22</v>
      </c>
      <c r="G100" s="22"/>
      <c r="H100" s="22"/>
      <c r="I100" s="22"/>
      <c r="J100" s="22"/>
      <c r="K100" s="22"/>
      <c r="L100" s="22"/>
      <c r="P100">
        <f>(C104-C107)*60</f>
        <v>-96.103897358528059</v>
      </c>
      <c r="T100">
        <f>(C107-C110)*60</f>
        <v>85.844192023850638</v>
      </c>
      <c r="X100">
        <f>(C110-C113)*60</f>
        <v>310.2597053346791</v>
      </c>
    </row>
    <row r="101" spans="1:24" x14ac:dyDescent="0.25">
      <c r="C101" s="17">
        <f>DEGREES((((G91-G88)*COS((G87+G90)/2))^2+(G90-G87)^2)^(1/2))*60</f>
        <v>1957.4048288282797</v>
      </c>
      <c r="D101" s="18">
        <f>C101/60</f>
        <v>32.62341381380466</v>
      </c>
      <c r="E101" s="15">
        <f>180-DEGREES(ATAN(I99))</f>
        <v>98.816136878191983</v>
      </c>
      <c r="N101">
        <f>(C105-C108)*60</f>
        <v>-1200</v>
      </c>
      <c r="O101">
        <f>COS((H107+H104)/2)</f>
        <v>0.48784646813208676</v>
      </c>
      <c r="P101">
        <f>N101*O101</f>
        <v>-585.41576175850412</v>
      </c>
      <c r="R101">
        <f>(C105-C108)*60</f>
        <v>-1200</v>
      </c>
      <c r="S101">
        <f>COS((H110+H107)/2)</f>
        <v>0.48654332822882917</v>
      </c>
      <c r="T101">
        <f>R101*S101</f>
        <v>-583.851993874595</v>
      </c>
      <c r="V101">
        <f>(C111-C114)*60</f>
        <v>-1200</v>
      </c>
      <c r="W101">
        <f>COS((H113+H110)/2)</f>
        <v>0.53604049038068036</v>
      </c>
      <c r="X101">
        <f>V101*W101</f>
        <v>-643.24858845681638</v>
      </c>
    </row>
    <row r="102" spans="1:24" x14ac:dyDescent="0.25">
      <c r="P102">
        <f>P101/P100</f>
        <v>6.0914882522873617</v>
      </c>
      <c r="T102">
        <f>T101/T100</f>
        <v>-6.8012987263294375</v>
      </c>
      <c r="X102">
        <f>X101/X100</f>
        <v>-2.0732585553220328</v>
      </c>
    </row>
    <row r="103" spans="1:24" x14ac:dyDescent="0.25">
      <c r="A103" s="20" t="s">
        <v>0</v>
      </c>
      <c r="B103" s="20"/>
      <c r="E103" s="2" t="s">
        <v>3</v>
      </c>
      <c r="F103" s="2" t="s">
        <v>1</v>
      </c>
      <c r="G103" s="2" t="s">
        <v>2</v>
      </c>
      <c r="H103" s="2" t="s">
        <v>23</v>
      </c>
      <c r="P103">
        <f>DEGREES(ATAN(P102))</f>
        <v>80.677279118192374</v>
      </c>
      <c r="T103">
        <f>180+DEGREES(ATAN(T102))</f>
        <v>98.364311237727648</v>
      </c>
      <c r="X103">
        <f>180+DEGREES(ATAN(X102))</f>
        <v>115.74952438882954</v>
      </c>
    </row>
    <row r="104" spans="1:24" x14ac:dyDescent="0.25">
      <c r="A104" s="21" t="s">
        <v>4</v>
      </c>
      <c r="B104" s="21"/>
      <c r="C104" s="14">
        <v>60</v>
      </c>
      <c r="E104" t="s">
        <v>5</v>
      </c>
      <c r="F104" s="14">
        <f>C104+D104/60</f>
        <v>60</v>
      </c>
      <c r="G104" s="14">
        <f t="shared" ref="G104:G105" si="13">RADIANS(C104+D104/60)</f>
        <v>1.0471975511965976</v>
      </c>
      <c r="H104" s="13">
        <f>RADIANS(C104)</f>
        <v>1.0471975511965976</v>
      </c>
    </row>
    <row r="105" spans="1:24" x14ac:dyDescent="0.25">
      <c r="A105" s="21" t="s">
        <v>6</v>
      </c>
      <c r="B105" s="21"/>
      <c r="C105">
        <v>-70</v>
      </c>
      <c r="E105" t="s">
        <v>7</v>
      </c>
      <c r="F105">
        <f t="shared" ref="F105" si="14">C105+D105/60</f>
        <v>-70</v>
      </c>
      <c r="G105">
        <f t="shared" si="13"/>
        <v>-1.2217304763960306</v>
      </c>
      <c r="H105" s="13">
        <f>RADIANS(C105)</f>
        <v>-1.2217304763960306</v>
      </c>
    </row>
    <row r="106" spans="1:24" x14ac:dyDescent="0.25">
      <c r="A106" s="20" t="s">
        <v>24</v>
      </c>
      <c r="B106" s="20"/>
      <c r="E106" s="2" t="s">
        <v>3</v>
      </c>
      <c r="F106" s="2" t="s">
        <v>1</v>
      </c>
      <c r="G106" s="2" t="s">
        <v>2</v>
      </c>
      <c r="H106" s="2" t="s">
        <v>23</v>
      </c>
      <c r="J106">
        <f>DEGREES((((H108-H105)*COS((H104+H107)/2))^2+(H107-H104)^2)^(1/2))*60</f>
        <v>593.25169464805413</v>
      </c>
      <c r="L106" s="2" t="s">
        <v>25</v>
      </c>
    </row>
    <row r="107" spans="1:24" x14ac:dyDescent="0.25">
      <c r="A107" s="21" t="s">
        <v>4</v>
      </c>
      <c r="B107" s="21"/>
      <c r="C107" s="14">
        <f>DEGREES(ATAN(TAN(RADIANS(C98))*COS(RADIANS(C99-C108))))</f>
        <v>61.601731622642134</v>
      </c>
      <c r="E107" t="s">
        <v>5</v>
      </c>
      <c r="F107" s="14">
        <f>ROUNDDOWN(C107,0)</f>
        <v>61</v>
      </c>
      <c r="G107" s="14">
        <f>(C107-F107)*60</f>
        <v>36.103897358528059</v>
      </c>
      <c r="H107" s="13">
        <f>RADIANS(C107)</f>
        <v>1.0751530417450144</v>
      </c>
      <c r="L107" s="2"/>
    </row>
    <row r="108" spans="1:24" x14ac:dyDescent="0.25">
      <c r="A108" s="21" t="s">
        <v>6</v>
      </c>
      <c r="B108" s="21"/>
      <c r="C108">
        <v>-50</v>
      </c>
      <c r="D108" s="2"/>
      <c r="E108" t="s">
        <v>7</v>
      </c>
      <c r="F108">
        <f t="shared" ref="F108" si="15">C108+D108/60</f>
        <v>-50</v>
      </c>
      <c r="G108">
        <v>0</v>
      </c>
      <c r="H108" s="13">
        <f>RADIANS(C108)</f>
        <v>-0.87266462599716477</v>
      </c>
      <c r="L108" s="2"/>
    </row>
    <row r="109" spans="1:24" x14ac:dyDescent="0.25">
      <c r="A109" s="20" t="s">
        <v>26</v>
      </c>
      <c r="B109" s="20"/>
      <c r="E109" s="2" t="s">
        <v>3</v>
      </c>
      <c r="F109" s="2" t="s">
        <v>1</v>
      </c>
      <c r="G109" s="2" t="s">
        <v>2</v>
      </c>
      <c r="H109" s="2" t="s">
        <v>23</v>
      </c>
      <c r="J109">
        <f>DEGREES((((H111-H108)*COS((H107+H110)/2))^2+(H110-H107)^2)^(1/2))*60</f>
        <v>590.12911812210052</v>
      </c>
      <c r="L109" s="2" t="s">
        <v>27</v>
      </c>
    </row>
    <row r="110" spans="1:24" x14ac:dyDescent="0.25">
      <c r="A110" s="21" t="s">
        <v>4</v>
      </c>
      <c r="B110" s="21"/>
      <c r="C110" s="14">
        <f>DEGREES(ATAN(TAN(RADIANS(C98))*COS(RADIANS(C99-C111))))</f>
        <v>60.17099508891129</v>
      </c>
      <c r="E110" t="s">
        <v>5</v>
      </c>
      <c r="F110" s="19">
        <f>ROUNDDOWN(C110,0)</f>
        <v>60</v>
      </c>
      <c r="G110" s="14">
        <f>(C110-F110)*60</f>
        <v>10.25970533467742</v>
      </c>
      <c r="H110" s="13">
        <f>RADIANS(C110)</f>
        <v>1.0501819785028401</v>
      </c>
      <c r="L110" s="2"/>
    </row>
    <row r="111" spans="1:24" x14ac:dyDescent="0.25">
      <c r="A111" s="21" t="s">
        <v>6</v>
      </c>
      <c r="B111" s="21"/>
      <c r="C111">
        <v>-30</v>
      </c>
      <c r="E111" t="s">
        <v>7</v>
      </c>
      <c r="F111">
        <v>40</v>
      </c>
      <c r="G111">
        <v>0</v>
      </c>
      <c r="H111" s="13">
        <f>RADIANS(C111)</f>
        <v>-0.52359877559829882</v>
      </c>
      <c r="L111" s="2"/>
    </row>
    <row r="112" spans="1:24" x14ac:dyDescent="0.25">
      <c r="A112" s="20" t="s">
        <v>9</v>
      </c>
      <c r="B112" s="20"/>
      <c r="E112" s="2" t="s">
        <v>3</v>
      </c>
      <c r="F112" s="2" t="s">
        <v>1</v>
      </c>
      <c r="G112" s="2" t="s">
        <v>2</v>
      </c>
      <c r="H112" s="2" t="s">
        <v>23</v>
      </c>
      <c r="J112">
        <f>DEGREES((((H114-H111)*COS((H110+H113)/2))^2+(H113-H110)^2)^(1/2))*60</f>
        <v>714.16372864074265</v>
      </c>
      <c r="L112" s="2" t="s">
        <v>28</v>
      </c>
    </row>
    <row r="113" spans="1:12" x14ac:dyDescent="0.25">
      <c r="A113" s="21" t="s">
        <v>4</v>
      </c>
      <c r="B113" s="21"/>
      <c r="C113" s="14">
        <f>DEGREES(ATAN(TAN(RADIANS(C98))*COS(RADIANS(C99-C114))))</f>
        <v>54.999999999999972</v>
      </c>
      <c r="E113" t="s">
        <v>5</v>
      </c>
      <c r="F113" s="14">
        <f>ROUNDDOWN(C113,0)</f>
        <v>55</v>
      </c>
      <c r="G113" s="14">
        <f>ROUNDDOWN((C113-F113)*60,0)</f>
        <v>0</v>
      </c>
      <c r="H113" s="13">
        <f>RADIANS(C113+D113/60)</f>
        <v>0.95993108859688081</v>
      </c>
    </row>
    <row r="114" spans="1:12" x14ac:dyDescent="0.25">
      <c r="A114" s="21" t="s">
        <v>6</v>
      </c>
      <c r="B114" s="21"/>
      <c r="C114">
        <v>-10</v>
      </c>
      <c r="D114" s="9"/>
      <c r="E114" t="s">
        <v>7</v>
      </c>
      <c r="F114">
        <f t="shared" ref="F114" si="16">C114+D114/60</f>
        <v>-10</v>
      </c>
      <c r="G114">
        <v>0</v>
      </c>
      <c r="H114" s="13">
        <f>RADIANS(C114+D114/60)</f>
        <v>-0.17453292519943295</v>
      </c>
    </row>
    <row r="115" spans="1:12" x14ac:dyDescent="0.25">
      <c r="J115">
        <f>SUM(J106:J112)</f>
        <v>1897.5445414108972</v>
      </c>
      <c r="L115" s="2" t="s">
        <v>29</v>
      </c>
    </row>
    <row r="129" spans="1:3" x14ac:dyDescent="0.25">
      <c r="A129" s="3"/>
      <c r="B129" s="3"/>
      <c r="C129" s="8"/>
    </row>
    <row r="130" spans="1:3" x14ac:dyDescent="0.25">
      <c r="A130" s="21"/>
      <c r="B130" s="21"/>
      <c r="C130" s="4"/>
    </row>
    <row r="131" spans="1:3" x14ac:dyDescent="0.25">
      <c r="C131" s="4"/>
    </row>
    <row r="132" spans="1:3" x14ac:dyDescent="0.25">
      <c r="A132" s="3"/>
      <c r="B132" s="3"/>
      <c r="C132" s="4"/>
    </row>
    <row r="133" spans="1:3" x14ac:dyDescent="0.25">
      <c r="A133" s="21"/>
      <c r="B133" s="21"/>
      <c r="C133" s="5"/>
    </row>
    <row r="134" spans="1:3" x14ac:dyDescent="0.25">
      <c r="C134" s="5"/>
    </row>
    <row r="135" spans="1:3" x14ac:dyDescent="0.25">
      <c r="A135" s="3"/>
      <c r="B135" s="3"/>
      <c r="C135" s="4"/>
    </row>
    <row r="136" spans="1:3" x14ac:dyDescent="0.25">
      <c r="A136" s="21"/>
      <c r="B136" s="21"/>
      <c r="C136" s="4"/>
    </row>
    <row r="137" spans="1:3" x14ac:dyDescent="0.25">
      <c r="C137" s="4"/>
    </row>
    <row r="141" spans="1:3" x14ac:dyDescent="0.25">
      <c r="C141" s="4"/>
    </row>
    <row r="1048576" spans="6:37" x14ac:dyDescent="0.25">
      <c r="F1048576" s="1"/>
      <c r="G1048576" s="1"/>
      <c r="H1048576" s="1"/>
      <c r="I1048576" s="1"/>
      <c r="J1048576" s="1"/>
      <c r="K1048576" s="1"/>
      <c r="L1048576" s="1"/>
      <c r="M1048576" s="1"/>
      <c r="N1048576" s="1"/>
      <c r="O1048576" s="1"/>
      <c r="P1048576" s="1"/>
      <c r="Q1048576" s="1"/>
      <c r="R1048576" s="1"/>
      <c r="S1048576" s="1"/>
      <c r="T1048576" s="1"/>
      <c r="U1048576" s="1" t="s">
        <v>24</v>
      </c>
      <c r="V1048576" s="1"/>
      <c r="W1048576" s="1"/>
      <c r="X1048576" s="1"/>
      <c r="Y1048576" s="1"/>
      <c r="Z1048576" s="1"/>
      <c r="AA1048576" s="1"/>
      <c r="AB1048576" s="1"/>
      <c r="AC1048576" s="1"/>
      <c r="AD1048576" s="1"/>
      <c r="AE1048576" s="1"/>
      <c r="AF1048576" s="1"/>
      <c r="AG1048576" s="1"/>
      <c r="AH1048576" s="1"/>
      <c r="AI1048576" s="1"/>
      <c r="AJ1048576" s="1"/>
      <c r="AK1048576" s="1"/>
    </row>
  </sheetData>
  <mergeCells count="45">
    <mergeCell ref="K27:L27"/>
    <mergeCell ref="K20:L20"/>
    <mergeCell ref="K22:L22"/>
    <mergeCell ref="K23:L23"/>
    <mergeCell ref="K25:L25"/>
    <mergeCell ref="K26:L26"/>
    <mergeCell ref="K8:L8"/>
    <mergeCell ref="K9:L9"/>
    <mergeCell ref="K10:L10"/>
    <mergeCell ref="K18:L18"/>
    <mergeCell ref="K19:L19"/>
    <mergeCell ref="K1:L1"/>
    <mergeCell ref="K2:L2"/>
    <mergeCell ref="K3:L3"/>
    <mergeCell ref="K5:L5"/>
    <mergeCell ref="K6:L6"/>
    <mergeCell ref="A10:B10"/>
    <mergeCell ref="A8:B8"/>
    <mergeCell ref="A9:B9"/>
    <mergeCell ref="A1:B1"/>
    <mergeCell ref="A2:B2"/>
    <mergeCell ref="A3:B3"/>
    <mergeCell ref="A5:B5"/>
    <mergeCell ref="A6:B6"/>
    <mergeCell ref="A86:B86"/>
    <mergeCell ref="A87:B87"/>
    <mergeCell ref="A88:B88"/>
    <mergeCell ref="A90:B90"/>
    <mergeCell ref="A91:B91"/>
    <mergeCell ref="A112:B112"/>
    <mergeCell ref="A106:B106"/>
    <mergeCell ref="A89:B89"/>
    <mergeCell ref="A136:B136"/>
    <mergeCell ref="A113:B113"/>
    <mergeCell ref="A114:B114"/>
    <mergeCell ref="A130:B130"/>
    <mergeCell ref="A133:B133"/>
    <mergeCell ref="A108:B108"/>
    <mergeCell ref="A110:B110"/>
    <mergeCell ref="A111:B111"/>
    <mergeCell ref="A104:B104"/>
    <mergeCell ref="A109:B109"/>
    <mergeCell ref="A105:B105"/>
    <mergeCell ref="A107:B107"/>
    <mergeCell ref="A103:B1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</dc:creator>
  <cp:keywords/>
  <dc:description/>
  <cp:lastModifiedBy>KN</cp:lastModifiedBy>
  <cp:revision/>
  <dcterms:created xsi:type="dcterms:W3CDTF">2025-10-08T08:35:45Z</dcterms:created>
  <dcterms:modified xsi:type="dcterms:W3CDTF">2026-01-14T09:59:17Z</dcterms:modified>
  <cp:category/>
  <cp:contentStatus/>
</cp:coreProperties>
</file>