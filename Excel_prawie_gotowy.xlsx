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N\Desktop\Maciej L\"/>
    </mc:Choice>
  </mc:AlternateContent>
  <bookViews>
    <workbookView xWindow="0" yWindow="0" windowWidth="28800" windowHeight="1231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7" i="1" l="1"/>
  <c r="L88" i="1"/>
  <c r="G103" i="1"/>
  <c r="G87" i="1"/>
  <c r="B94" i="1" s="1"/>
  <c r="C95" i="1" s="1"/>
  <c r="C99" i="1" s="1"/>
  <c r="G88" i="1"/>
  <c r="G89" i="1"/>
  <c r="G90" i="1"/>
  <c r="G91" i="1"/>
  <c r="C101" i="1" l="1"/>
  <c r="H98" i="1"/>
  <c r="I98" i="1" s="1"/>
  <c r="G98" i="1"/>
  <c r="K98" i="1" l="1"/>
  <c r="G125" i="1"/>
  <c r="G122" i="1"/>
  <c r="G116" i="1"/>
  <c r="G119" i="1"/>
  <c r="G120" i="1"/>
  <c r="F125" i="1"/>
  <c r="F122" i="1"/>
  <c r="F120" i="1"/>
  <c r="F119" i="1"/>
  <c r="G117" i="1"/>
  <c r="F117" i="1"/>
  <c r="F116" i="1"/>
  <c r="G104" i="1"/>
  <c r="F104" i="1"/>
  <c r="F103" i="1"/>
  <c r="F91" i="1"/>
  <c r="F90" i="1"/>
  <c r="F88" i="1"/>
  <c r="C94" i="1"/>
  <c r="F87" i="1"/>
  <c r="I97" i="1" s="1"/>
  <c r="I99" i="1" s="1"/>
  <c r="E101" i="1" s="1"/>
  <c r="D101" i="1" l="1"/>
  <c r="B106" i="1"/>
  <c r="C107" i="1" s="1"/>
  <c r="C109" i="1"/>
  <c r="B109" i="1"/>
  <c r="C110" i="1" s="1"/>
  <c r="C106" i="1"/>
  <c r="Q23" i="1"/>
  <c r="P23" i="1"/>
  <c r="Q22" i="1"/>
  <c r="P22" i="1"/>
  <c r="Q20" i="1"/>
  <c r="P20" i="1"/>
  <c r="Q19" i="1"/>
  <c r="P19" i="1"/>
  <c r="Q6" i="1"/>
  <c r="P6" i="1"/>
  <c r="Q5" i="1"/>
  <c r="P5" i="1"/>
  <c r="Q3" i="1"/>
  <c r="P3" i="1"/>
  <c r="Q2" i="1"/>
  <c r="P2" i="1"/>
  <c r="G5" i="1"/>
  <c r="G2" i="1"/>
  <c r="C96" i="1" l="1"/>
  <c r="C108" i="1"/>
  <c r="C112" i="1"/>
  <c r="C111" i="1"/>
  <c r="M25" i="1"/>
  <c r="N25" i="1"/>
  <c r="N26" i="1" s="1"/>
  <c r="M26" i="1" s="1"/>
  <c r="O26" i="1" s="1"/>
  <c r="M29" i="1" s="1"/>
  <c r="M8" i="1"/>
  <c r="N8" i="1"/>
  <c r="C98" i="1" l="1"/>
  <c r="C133" i="1"/>
  <c r="M10" i="1"/>
  <c r="N9" i="1"/>
  <c r="M9" i="1" s="1"/>
  <c r="O9" i="1" s="1"/>
  <c r="M12" i="1" s="1"/>
  <c r="L29" i="1"/>
  <c r="M30" i="1"/>
  <c r="M27" i="1"/>
  <c r="N92" i="1" l="1"/>
  <c r="N88" i="1"/>
  <c r="N89" i="1"/>
  <c r="N95" i="1"/>
  <c r="N90" i="1"/>
  <c r="N96" i="1"/>
  <c r="N93" i="1"/>
  <c r="N94" i="1"/>
  <c r="N87" i="1"/>
  <c r="N91" i="1"/>
  <c r="N97" i="1"/>
  <c r="D99" i="1"/>
  <c r="E99" i="1" s="1"/>
  <c r="C126" i="1"/>
  <c r="D126" i="1" s="1"/>
  <c r="G126" i="1" s="1"/>
  <c r="C123" i="1"/>
  <c r="D123" i="1" s="1"/>
  <c r="G123" i="1" s="1"/>
  <c r="D98" i="1"/>
  <c r="E98" i="1" s="1"/>
  <c r="L12" i="1"/>
  <c r="M13" i="1"/>
  <c r="L30" i="1"/>
  <c r="K30" i="1"/>
  <c r="S96" i="1" l="1"/>
  <c r="R96" i="1"/>
  <c r="O96" i="1"/>
  <c r="P96" i="1" s="1"/>
  <c r="O95" i="1"/>
  <c r="P95" i="1" s="1"/>
  <c r="R95" i="1"/>
  <c r="S95" i="1"/>
  <c r="O97" i="1"/>
  <c r="P97" i="1" s="1"/>
  <c r="R90" i="1"/>
  <c r="O90" i="1"/>
  <c r="P90" i="1" s="1"/>
  <c r="S90" i="1"/>
  <c r="O91" i="1"/>
  <c r="P91" i="1" s="1"/>
  <c r="R91" i="1"/>
  <c r="S91" i="1"/>
  <c r="S87" i="1"/>
  <c r="O87" i="1"/>
  <c r="P87" i="1"/>
  <c r="O89" i="1"/>
  <c r="P89" i="1" s="1"/>
  <c r="R89" i="1"/>
  <c r="S89" i="1"/>
  <c r="R94" i="1"/>
  <c r="S94" i="1"/>
  <c r="O94" i="1"/>
  <c r="P94" i="1" s="1"/>
  <c r="R88" i="1"/>
  <c r="S88" i="1"/>
  <c r="O88" i="1"/>
  <c r="P88" i="1" s="1"/>
  <c r="O93" i="1"/>
  <c r="P93" i="1" s="1"/>
  <c r="S93" i="1"/>
  <c r="R93" i="1"/>
  <c r="S92" i="1"/>
  <c r="O92" i="1"/>
  <c r="P92" i="1"/>
  <c r="R92" i="1"/>
  <c r="C134" i="1"/>
  <c r="B135" i="1"/>
  <c r="C137" i="1" s="1"/>
  <c r="C135" i="1"/>
  <c r="B129" i="1"/>
  <c r="C130" i="1" s="1"/>
  <c r="C129" i="1"/>
  <c r="F123" i="1"/>
  <c r="F126" i="1"/>
  <c r="L13" i="1"/>
  <c r="K13" i="1"/>
  <c r="G3" i="1"/>
  <c r="G6" i="1"/>
  <c r="C8" i="1" s="1"/>
  <c r="F3" i="1"/>
  <c r="F5" i="1"/>
  <c r="F6" i="1"/>
  <c r="F2" i="1"/>
  <c r="R98" i="1" l="1"/>
  <c r="C136" i="1"/>
  <c r="C131" i="1"/>
  <c r="C132" i="1"/>
  <c r="C141" i="1" s="1"/>
  <c r="D8" i="1"/>
  <c r="C10" i="1" l="1"/>
  <c r="D9" i="1"/>
  <c r="C9" i="1" s="1"/>
  <c r="E9" i="1" s="1"/>
  <c r="C12" i="1" l="1"/>
  <c r="B12" i="1" s="1"/>
  <c r="C14" i="1"/>
  <c r="B14" i="1" s="1"/>
  <c r="B13" i="1"/>
  <c r="A13" i="1"/>
</calcChain>
</file>

<file path=xl/sharedStrings.xml><?xml version="1.0" encoding="utf-8"?>
<sst xmlns="http://schemas.openxmlformats.org/spreadsheetml/2006/main" count="124" uniqueCount="24">
  <si>
    <t>X</t>
  </si>
  <si>
    <t>Punkt początkowy</t>
  </si>
  <si>
    <t>szerokosc</t>
  </si>
  <si>
    <t>dlugosc</t>
  </si>
  <si>
    <t>Punkt koncowy</t>
  </si>
  <si>
    <t>[*]</t>
  </si>
  <si>
    <t>[']</t>
  </si>
  <si>
    <t>N</t>
  </si>
  <si>
    <t>Znak</t>
  </si>
  <si>
    <t>E</t>
  </si>
  <si>
    <t>Poczatkowy kat drogi</t>
  </si>
  <si>
    <t>Końcowy kat drogi</t>
  </si>
  <si>
    <t>Droga  [NM]</t>
  </si>
  <si>
    <t>W</t>
  </si>
  <si>
    <t>stopnie</t>
  </si>
  <si>
    <t>min</t>
  </si>
  <si>
    <t>Punkt srodkowy</t>
  </si>
  <si>
    <t>Y</t>
  </si>
  <si>
    <t>KDp</t>
  </si>
  <si>
    <t>KDk</t>
  </si>
  <si>
    <t>wierzcholek</t>
  </si>
  <si>
    <t>d_x</t>
  </si>
  <si>
    <t>KD_x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</si>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</sst>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00"/>
    <numFmt numFmtId="166" formatCode="0.0000000"/>
    <numFmt numFmtId="167" formatCode="0.00000"/>
  </numFmts>
  <fonts count="4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0" xfId="1"/>
    <xf numFmtId="0" fontId="2" fillId="0" borderId="0" xfId="0" applyFont="1"/>
    <xf numFmtId="0" fontId="0" fillId="0" borderId="0" xfId="0" applyAlignme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4" fontId="0" fillId="0" borderId="0" xfId="0" applyNumberFormat="1" applyFont="1"/>
    <xf numFmtId="167" fontId="3" fillId="0" borderId="0" xfId="0" applyNumberFormat="1" applyFont="1"/>
    <xf numFmtId="0" fontId="0" fillId="0" borderId="0" xfId="0" applyAlignment="1">
      <alignment horizontal="center"/>
    </xf>
  </cellXfs>
  <cellStyles count="2">
    <cellStyle name="Normalny" xfId="0" builtinId="0"/>
    <cellStyle name="Zły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8576"/>
  <sheetViews>
    <sheetView tabSelected="1" topLeftCell="A78" workbookViewId="0">
      <selection activeCell="R87" sqref="R87"/>
    </sheetView>
  </sheetViews>
  <sheetFormatPr defaultRowHeight="15" x14ac:dyDescent="0.25"/>
  <cols>
    <col min="1" max="1" width="11.85546875" customWidth="1"/>
    <col min="2" max="2" width="13.7109375" bestFit="1" customWidth="1"/>
    <col min="3" max="3" width="11.5703125" bestFit="1" customWidth="1"/>
    <col min="4" max="4" width="9.5703125" bestFit="1" customWidth="1"/>
    <col min="5" max="5" width="10.5703125" bestFit="1" customWidth="1"/>
    <col min="6" max="6" width="9.85546875" bestFit="1" customWidth="1"/>
    <col min="11" max="11" width="9.85546875" bestFit="1" customWidth="1"/>
    <col min="12" max="12" width="10.5703125" bestFit="1" customWidth="1"/>
    <col min="14" max="14" width="10.5703125" bestFit="1" customWidth="1"/>
    <col min="18" max="18" width="9.5703125" bestFit="1" customWidth="1"/>
  </cols>
  <sheetData>
    <row r="1" spans="1:17" x14ac:dyDescent="0.25">
      <c r="A1" s="11" t="s">
        <v>1</v>
      </c>
      <c r="B1" s="11"/>
      <c r="C1" t="s">
        <v>5</v>
      </c>
      <c r="D1" t="s">
        <v>6</v>
      </c>
      <c r="E1" t="s">
        <v>8</v>
      </c>
      <c r="K1" s="11" t="s">
        <v>1</v>
      </c>
      <c r="L1" s="11"/>
      <c r="M1" t="s">
        <v>5</v>
      </c>
      <c r="N1" t="s">
        <v>6</v>
      </c>
      <c r="O1" t="s">
        <v>8</v>
      </c>
    </row>
    <row r="2" spans="1:17" x14ac:dyDescent="0.25">
      <c r="A2" s="11" t="s">
        <v>2</v>
      </c>
      <c r="B2" s="11"/>
      <c r="C2">
        <v>10</v>
      </c>
      <c r="D2">
        <v>0</v>
      </c>
      <c r="E2" t="s">
        <v>7</v>
      </c>
      <c r="F2">
        <f>C2+D2/60</f>
        <v>10</v>
      </c>
      <c r="G2">
        <f>IF(E2=E5,RADIANS(C2+D2/60),IF(AND(E2="S",E5="N"),-RADIANS(C2+D2/60),RADIANS(C2+D2/60)))</f>
        <v>0.17453292519943295</v>
      </c>
      <c r="K2" s="11" t="s">
        <v>2</v>
      </c>
      <c r="L2" s="11"/>
      <c r="M2">
        <v>40</v>
      </c>
      <c r="N2">
        <v>0</v>
      </c>
      <c r="O2" t="s">
        <v>7</v>
      </c>
      <c r="P2">
        <f>M2+N2/60</f>
        <v>40</v>
      </c>
      <c r="Q2">
        <f>IF(O2=O5,RADIANS(M2+N2/60),IF(AND(O2="S",O5="N"),-RADIANS(M2+N2/60),RADIANS(M2+N2/60)))</f>
        <v>0.69813170079773179</v>
      </c>
    </row>
    <row r="3" spans="1:17" x14ac:dyDescent="0.25">
      <c r="A3" s="11" t="s">
        <v>3</v>
      </c>
      <c r="B3" s="11"/>
      <c r="C3">
        <v>10</v>
      </c>
      <c r="D3">
        <v>0</v>
      </c>
      <c r="E3" t="s">
        <v>13</v>
      </c>
      <c r="F3">
        <f t="shared" ref="F3:F6" si="0">C3+D3/60</f>
        <v>10</v>
      </c>
      <c r="G3">
        <f t="shared" ref="G3:G6" si="1">RADIANS(C3+D3/60)</f>
        <v>0.17453292519943295</v>
      </c>
      <c r="K3" s="11" t="s">
        <v>3</v>
      </c>
      <c r="L3" s="11"/>
      <c r="M3">
        <v>10</v>
      </c>
      <c r="N3">
        <v>0</v>
      </c>
      <c r="O3" t="s">
        <v>9</v>
      </c>
      <c r="P3">
        <f t="shared" ref="P3" si="2">M3+N3/60</f>
        <v>10</v>
      </c>
      <c r="Q3">
        <f t="shared" ref="Q3" si="3">RADIANS(M3+N3/60)</f>
        <v>0.17453292519943295</v>
      </c>
    </row>
    <row r="4" spans="1:17" x14ac:dyDescent="0.25">
      <c r="A4" s="3" t="s">
        <v>4</v>
      </c>
      <c r="B4" s="3"/>
      <c r="K4" s="3" t="s">
        <v>4</v>
      </c>
      <c r="L4" s="3"/>
    </row>
    <row r="5" spans="1:17" x14ac:dyDescent="0.25">
      <c r="A5" s="11" t="s">
        <v>2</v>
      </c>
      <c r="B5" s="11"/>
      <c r="C5">
        <v>80</v>
      </c>
      <c r="D5">
        <v>0</v>
      </c>
      <c r="E5" t="s">
        <v>7</v>
      </c>
      <c r="F5">
        <f t="shared" si="0"/>
        <v>80</v>
      </c>
      <c r="G5">
        <f>IF(E2=E5,RADIANS(C5+D5/60),IF(AND(E2="S",E5="N"),RADIANS(C5+D5/60),-RADIANS(C5+D5/60)))</f>
        <v>1.3962634015954636</v>
      </c>
      <c r="K5" s="11" t="s">
        <v>2</v>
      </c>
      <c r="L5" s="11"/>
      <c r="M5">
        <v>30</v>
      </c>
      <c r="N5">
        <v>0</v>
      </c>
      <c r="O5" t="s">
        <v>7</v>
      </c>
      <c r="P5">
        <f t="shared" ref="P5:P6" si="4">M5+N5/60</f>
        <v>30</v>
      </c>
      <c r="Q5">
        <f>IF(O2=O5,RADIANS(M5+N5/60),IF(AND(O2="S",O5="N"),RADIANS(M5+N5/60),-RADIANS(M5+N5/60)))</f>
        <v>0.52359877559829882</v>
      </c>
    </row>
    <row r="6" spans="1:17" x14ac:dyDescent="0.25">
      <c r="A6" s="11" t="s">
        <v>3</v>
      </c>
      <c r="B6" s="11"/>
      <c r="C6">
        <v>20</v>
      </c>
      <c r="D6" s="2">
        <v>0</v>
      </c>
      <c r="E6" t="s">
        <v>13</v>
      </c>
      <c r="F6">
        <f t="shared" si="0"/>
        <v>20</v>
      </c>
      <c r="G6">
        <f t="shared" si="1"/>
        <v>0.3490658503988659</v>
      </c>
      <c r="K6" s="11" t="s">
        <v>3</v>
      </c>
      <c r="L6" s="11"/>
      <c r="M6">
        <v>100</v>
      </c>
      <c r="N6" s="2">
        <v>0</v>
      </c>
      <c r="O6" t="s">
        <v>9</v>
      </c>
      <c r="P6">
        <f t="shared" si="4"/>
        <v>100</v>
      </c>
      <c r="Q6">
        <f t="shared" ref="Q6" si="5">RADIANS(M6+N6/60)</f>
        <v>1.7453292519943295</v>
      </c>
    </row>
    <row r="8" spans="1:17" x14ac:dyDescent="0.25">
      <c r="A8" s="11" t="s">
        <v>12</v>
      </c>
      <c r="B8" s="11"/>
      <c r="C8" s="4">
        <f>DEGREES(ACOS(SIN(G2)*SIN(G5)+COS(G2)*COS(G5)*COS(G6-G3)))*60</f>
        <v>4209.4997892631818</v>
      </c>
      <c r="D8">
        <f>ACOS(SIN(G2)*SIN(G5)+COS(G2)*COS(G5)*COS(G6-G3))</f>
        <v>1.2244938530774996</v>
      </c>
      <c r="K8" s="11" t="s">
        <v>12</v>
      </c>
      <c r="L8" s="11"/>
      <c r="M8" s="4">
        <f>DEGREES(ACOS(SIN(Q2)*SIN(Q5)+COS(Q2)*COS(Q5)*COS(Q6-Q3)))*60</f>
        <v>4275.1657649377494</v>
      </c>
      <c r="N8">
        <f>ACOS(SIN(Q2)*SIN(Q5)+COS(Q2)*COS(Q5)*COS(Q6-Q3))</f>
        <v>1.2435953111117615</v>
      </c>
    </row>
    <row r="9" spans="1:17" x14ac:dyDescent="0.25">
      <c r="A9" s="11" t="s">
        <v>10</v>
      </c>
      <c r="B9" s="11"/>
      <c r="C9" s="4">
        <f>IF(D9&lt;0,D9+360,D9)</f>
        <v>358.16296785523269</v>
      </c>
      <c r="D9">
        <f>DEGREES(ASIN(SIN(G3-G6)*COS(G5)*_xlfn.CSC(D8)))</f>
        <v>-1.8370321447673021</v>
      </c>
      <c r="E9">
        <f>RADIANS(C9)</f>
        <v>6.2511230477884236</v>
      </c>
      <c r="K9" s="11" t="s">
        <v>10</v>
      </c>
      <c r="L9" s="11"/>
      <c r="M9" s="4">
        <f>IF(N9&lt;0,N9+360,N9)</f>
        <v>66.141345201541355</v>
      </c>
      <c r="N9">
        <f>DEGREES(ASIN(SIN(Q6-Q3)*COS(Q5)*_xlfn.CSC(N8)))</f>
        <v>66.141345201541355</v>
      </c>
      <c r="O9">
        <f>RADIANS(M9)</f>
        <v>1.154384245465049</v>
      </c>
    </row>
    <row r="10" spans="1:17" x14ac:dyDescent="0.25">
      <c r="A10" s="11" t="s">
        <v>11</v>
      </c>
      <c r="B10" s="11"/>
      <c r="C10" s="4">
        <f>IF(DEGREES(ASIN(SIN(G3-G6))*COS(G2)*_xlfn.CSC(D8))&lt;0,DEGREES(ASIN(SIN(G3-G6))*COS(G2)*_xlfn.CSC(D8))+360,DEGREES(ASIN(SIN(G3-G6))*COS(G2)*_xlfn.CSC(D8))+180)</f>
        <v>349.53038500431808</v>
      </c>
      <c r="K10" s="11" t="s">
        <v>11</v>
      </c>
      <c r="L10" s="11"/>
      <c r="M10" s="4">
        <f>DEGREES(ASIN(SIN(Q3-Q6)*COS(Q2)*_xlfn.CSC(N8)))+180</f>
        <v>126.00521481878653</v>
      </c>
    </row>
    <row r="12" spans="1:17" x14ac:dyDescent="0.25">
      <c r="B12" s="6">
        <f>IF(DEGREES(ACOS(C12))&gt;90,180-DEGREES(ACOS(C12)),DEGREES(ACOS(C12)))</f>
        <v>88.190885851442943</v>
      </c>
      <c r="C12">
        <f>COS(G2)*SIN(E9)</f>
        <v>-3.1569752088506819E-2</v>
      </c>
      <c r="L12" s="7">
        <f>IF(DEGREES(ACOS(M12))&gt;90,180-DEGREES(ACOS(M12)),DEGREES(ACOS(M12)))</f>
        <v>45.526208237761793</v>
      </c>
      <c r="M12">
        <f>COS(Q2)*SIN(O9)</f>
        <v>0.70058293593547727</v>
      </c>
    </row>
    <row r="13" spans="1:17" x14ac:dyDescent="0.25">
      <c r="A13" s="5">
        <f>ROUNDDOWN(B12,0)</f>
        <v>88</v>
      </c>
      <c r="B13" s="4">
        <f>(B12-ROUNDDOWN(B12,0))*60</f>
        <v>11.453151086576554</v>
      </c>
      <c r="C13" t="s">
        <v>7</v>
      </c>
      <c r="K13" s="5">
        <f>ROUNDDOWN(L12,0)</f>
        <v>45</v>
      </c>
      <c r="L13" s="4">
        <f>(L12-ROUNDDOWN(L12,0))*60</f>
        <v>31.572494265707576</v>
      </c>
      <c r="M13" t="str">
        <f>IF(DEGREES(ACOS(M12))&gt;90,"S","N")</f>
        <v>N</v>
      </c>
    </row>
    <row r="14" spans="1:17" x14ac:dyDescent="0.25">
      <c r="B14" s="6">
        <f>DEGREES(_xlfn.ACOT(C14))-90</f>
        <v>0.31910333834673565</v>
      </c>
      <c r="C14">
        <f>SIN(G2)*TAN(E9)</f>
        <v>-5.5694614933767071E-3</v>
      </c>
    </row>
    <row r="18" spans="11:17" x14ac:dyDescent="0.25">
      <c r="K18" s="11" t="s">
        <v>1</v>
      </c>
      <c r="L18" s="11"/>
      <c r="M18" t="s">
        <v>5</v>
      </c>
      <c r="N18" t="s">
        <v>6</v>
      </c>
      <c r="O18" t="s">
        <v>8</v>
      </c>
    </row>
    <row r="19" spans="11:17" x14ac:dyDescent="0.25">
      <c r="K19" s="11" t="s">
        <v>2</v>
      </c>
      <c r="L19" s="11"/>
      <c r="M19">
        <v>50</v>
      </c>
      <c r="N19">
        <v>0</v>
      </c>
      <c r="O19" t="s">
        <v>7</v>
      </c>
      <c r="P19">
        <f>M19+N19/60</f>
        <v>50</v>
      </c>
      <c r="Q19">
        <f>IF(O19=O22,RADIANS(M19+N19/60),IF(AND(O19="S",O22="N"),-RADIANS(M19+N19/60),RADIANS(M19+N19/60)))</f>
        <v>0.87266462599716477</v>
      </c>
    </row>
    <row r="20" spans="11:17" x14ac:dyDescent="0.25">
      <c r="K20" s="11" t="s">
        <v>3</v>
      </c>
      <c r="L20" s="11"/>
      <c r="M20">
        <v>150</v>
      </c>
      <c r="N20">
        <v>0</v>
      </c>
      <c r="O20" t="s">
        <v>13</v>
      </c>
      <c r="P20">
        <f t="shared" ref="P20" si="6">M20+N20/60</f>
        <v>150</v>
      </c>
      <c r="Q20">
        <f t="shared" ref="Q20" si="7">RADIANS(M20+N20/60)</f>
        <v>2.6179938779914944</v>
      </c>
    </row>
    <row r="21" spans="11:17" x14ac:dyDescent="0.25">
      <c r="K21" s="3" t="s">
        <v>4</v>
      </c>
      <c r="L21" s="3"/>
    </row>
    <row r="22" spans="11:17" x14ac:dyDescent="0.25">
      <c r="K22" s="11" t="s">
        <v>2</v>
      </c>
      <c r="L22" s="11"/>
      <c r="M22">
        <v>45</v>
      </c>
      <c r="N22">
        <v>0</v>
      </c>
      <c r="O22" t="s">
        <v>7</v>
      </c>
      <c r="P22">
        <f t="shared" ref="P22:P23" si="8">M22+N22/60</f>
        <v>45</v>
      </c>
      <c r="Q22">
        <f>IF(O19=O22,RADIANS(M22+N22/60),IF(AND(O19="S",O22="N"),RADIANS(M22+N22/60),-RADIANS(M22+N22/60)))</f>
        <v>0.78539816339744828</v>
      </c>
    </row>
    <row r="23" spans="11:17" x14ac:dyDescent="0.25">
      <c r="K23" s="11" t="s">
        <v>3</v>
      </c>
      <c r="L23" s="11"/>
      <c r="M23">
        <v>140</v>
      </c>
      <c r="N23" s="2">
        <v>0</v>
      </c>
      <c r="O23" t="s">
        <v>9</v>
      </c>
      <c r="P23">
        <f t="shared" si="8"/>
        <v>140</v>
      </c>
      <c r="Q23">
        <f t="shared" ref="Q23" si="9">RADIANS(M23+N23/60)</f>
        <v>2.4434609527920612</v>
      </c>
    </row>
    <row r="25" spans="11:17" x14ac:dyDescent="0.25">
      <c r="K25" s="11" t="s">
        <v>12</v>
      </c>
      <c r="L25" s="11"/>
      <c r="M25" s="4">
        <f>DEGREES(ACOS(SIN(Q19)*SIN(Q22)+COS(Q19)*COS(Q22)*COS(Q23-Q20)))*60</f>
        <v>503.59523959029184</v>
      </c>
      <c r="N25">
        <f>ACOS(SIN(Q19)*SIN(Q22)+COS(Q19)*COS(Q22)*COS(Q23-Q20))</f>
        <v>0.14648991713700488</v>
      </c>
    </row>
    <row r="26" spans="11:17" x14ac:dyDescent="0.25">
      <c r="K26" s="11" t="s">
        <v>10</v>
      </c>
      <c r="L26" s="11"/>
      <c r="M26" s="4">
        <f>IF(N26&lt;0,N26+360,N26)</f>
        <v>302.73240720961201</v>
      </c>
      <c r="N26">
        <f>DEGREES(ASIN(SIN(Q23-Q20)*COS(Q22)*_xlfn.CSC(N25)))</f>
        <v>-57.267592790387987</v>
      </c>
      <c r="O26">
        <f>RADIANS(M26)</f>
        <v>5.283677258295949</v>
      </c>
    </row>
    <row r="27" spans="11:17" x14ac:dyDescent="0.25">
      <c r="K27" s="11" t="s">
        <v>11</v>
      </c>
      <c r="L27" s="11"/>
      <c r="M27" s="4">
        <f>DEGREES(ASIN(SIN(Q20-Q23)*COS(Q19)*_xlfn.CSC(N25)))+180</f>
        <v>229.87925979145729</v>
      </c>
    </row>
    <row r="29" spans="11:17" x14ac:dyDescent="0.25">
      <c r="L29" s="7">
        <f>IF(DEGREES(ACOS(M29))&gt;90,180-DEGREES(ACOS(M29)),DEGREES(ACOS(M29)))</f>
        <v>57.267592790387496</v>
      </c>
      <c r="M29">
        <f>COS(Q19)*SIN(O26)</f>
        <v>-0.54071620306093893</v>
      </c>
    </row>
    <row r="30" spans="11:17" x14ac:dyDescent="0.25">
      <c r="K30" s="5">
        <f>ROUNDDOWN(L29,0)</f>
        <v>57</v>
      </c>
      <c r="L30" s="4">
        <f>(L29-ROUNDDOWN(L29,0))*60</f>
        <v>16.055567423249784</v>
      </c>
      <c r="M30" t="str">
        <f>IF(DEGREES(ACOS(M29))&gt;90,"S","N")</f>
        <v>S</v>
      </c>
    </row>
    <row r="86" spans="1:19" x14ac:dyDescent="0.25">
      <c r="A86" s="11" t="s">
        <v>1</v>
      </c>
      <c r="B86" s="11"/>
      <c r="C86" t="s">
        <v>5</v>
      </c>
      <c r="D86" t="s">
        <v>6</v>
      </c>
      <c r="E86" t="s">
        <v>8</v>
      </c>
      <c r="R86" t="s">
        <v>21</v>
      </c>
      <c r="S86" t="s">
        <v>22</v>
      </c>
    </row>
    <row r="87" spans="1:19" x14ac:dyDescent="0.25">
      <c r="A87" s="11" t="s">
        <v>2</v>
      </c>
      <c r="B87" s="11"/>
      <c r="C87">
        <v>50</v>
      </c>
      <c r="D87">
        <v>0</v>
      </c>
      <c r="E87" t="s">
        <v>7</v>
      </c>
      <c r="F87">
        <f>C87+D87/60</f>
        <v>50</v>
      </c>
      <c r="G87">
        <f t="shared" ref="G87:G90" si="10">RADIANS(C87+D87/60)</f>
        <v>0.87266462599716477</v>
      </c>
      <c r="L87">
        <v>110</v>
      </c>
      <c r="M87" t="s">
        <v>13</v>
      </c>
      <c r="N87" s="10">
        <f t="shared" ref="N87:N97" si="11">DEGREES(ATAN(TAN(RADIANS($C$98))*COS(RADIANS(L87-$C$99))))</f>
        <v>49.999999999999993</v>
      </c>
      <c r="O87" s="5">
        <f>ROUNDDOWN(N87,0)</f>
        <v>50</v>
      </c>
      <c r="P87" s="4">
        <f>(N87-O87)*60</f>
        <v>-4.2632564145606011E-13</v>
      </c>
      <c r="Q87" t="s">
        <v>7</v>
      </c>
      <c r="R87">
        <f>DEGREES((((RADIANS(L88)-RADIANS(L87))*COS((RADIANS(N87)+RADIANS(N88))/2))^2+(RADIANS(N88)-RADIANS(N87))^2)^(1/2))*60</f>
        <v>446.44365930303474</v>
      </c>
      <c r="S87">
        <f>DEGREES(ATAN((L87-L88)*60*COS(RADIANS((N87+N88)/2))/((N88-N87)*60)))</f>
        <v>55.647735449246717</v>
      </c>
    </row>
    <row r="88" spans="1:19" x14ac:dyDescent="0.25">
      <c r="A88" s="11" t="s">
        <v>3</v>
      </c>
      <c r="B88" s="11"/>
      <c r="C88">
        <v>110</v>
      </c>
      <c r="D88">
        <v>0</v>
      </c>
      <c r="E88" t="s">
        <v>13</v>
      </c>
      <c r="F88">
        <f t="shared" ref="F88" si="12">C88+D88/60</f>
        <v>110</v>
      </c>
      <c r="G88">
        <f t="shared" si="10"/>
        <v>1.9198621771937625</v>
      </c>
      <c r="L88">
        <f>100</f>
        <v>100</v>
      </c>
      <c r="M88" t="s">
        <v>13</v>
      </c>
      <c r="N88" s="10">
        <f t="shared" si="11"/>
        <v>54.198649126477328</v>
      </c>
      <c r="O88" s="5">
        <f>ROUNDDOWN(N88,0)</f>
        <v>54</v>
      </c>
      <c r="P88" s="4">
        <f>(N88-O88)*60</f>
        <v>11.918947588639668</v>
      </c>
      <c r="Q88" t="s">
        <v>7</v>
      </c>
      <c r="R88">
        <f t="shared" ref="R88:R96" si="13">DEGREES((((RADIANS(L89)-RADIANS(L88))*COS((RADIANS(N88)+RADIANS(N89))/2))^2+(RADIANS(N89)-RADIANS(N88))^2)^(1/2))*60</f>
        <v>378.053651618549</v>
      </c>
      <c r="S88">
        <f t="shared" ref="S88:S91" si="14">DEGREES(ATAN((L88-L89)*60*COS(RADIANS((N88+N89)/2))/((N89-N88)*60)))</f>
        <v>63.743108665166602</v>
      </c>
    </row>
    <row r="89" spans="1:19" x14ac:dyDescent="0.25">
      <c r="A89" s="3" t="s">
        <v>4</v>
      </c>
      <c r="B89" s="3"/>
      <c r="G89">
        <f t="shared" si="10"/>
        <v>0</v>
      </c>
      <c r="L89">
        <v>90</v>
      </c>
      <c r="M89" t="s">
        <v>13</v>
      </c>
      <c r="N89" s="10">
        <f t="shared" si="11"/>
        <v>56.986143040894106</v>
      </c>
      <c r="O89" s="5">
        <f t="shared" ref="O89:O97" si="15">ROUNDDOWN(N89,0)</f>
        <v>56</v>
      </c>
      <c r="P89" s="4">
        <f t="shared" ref="P89:P97" si="16">(N89-O89)*60</f>
        <v>59.168582453646366</v>
      </c>
      <c r="Q89" t="s">
        <v>7</v>
      </c>
      <c r="R89">
        <f t="shared" si="13"/>
        <v>335.52717252785135</v>
      </c>
      <c r="S89">
        <f t="shared" si="14"/>
        <v>72.126263806414471</v>
      </c>
    </row>
    <row r="90" spans="1:19" x14ac:dyDescent="0.25">
      <c r="A90" s="11" t="s">
        <v>2</v>
      </c>
      <c r="B90" s="11"/>
      <c r="C90">
        <v>45</v>
      </c>
      <c r="D90">
        <v>0</v>
      </c>
      <c r="E90" t="s">
        <v>7</v>
      </c>
      <c r="F90">
        <f t="shared" ref="F90:F91" si="17">C90+D90/60</f>
        <v>45</v>
      </c>
      <c r="G90">
        <f t="shared" si="10"/>
        <v>0.78539816339744828</v>
      </c>
      <c r="L90">
        <v>80</v>
      </c>
      <c r="M90" t="s">
        <v>13</v>
      </c>
      <c r="N90" s="10">
        <f t="shared" si="11"/>
        <v>58.702478519615873</v>
      </c>
      <c r="O90" s="5">
        <f t="shared" si="15"/>
        <v>58</v>
      </c>
      <c r="P90" s="4">
        <f t="shared" si="16"/>
        <v>42.148711176952389</v>
      </c>
      <c r="Q90" t="s">
        <v>7</v>
      </c>
      <c r="R90">
        <f t="shared" si="13"/>
        <v>312.03329022937197</v>
      </c>
      <c r="S90">
        <f t="shared" si="14"/>
        <v>80.676971459359521</v>
      </c>
    </row>
    <row r="91" spans="1:19" x14ac:dyDescent="0.25">
      <c r="A91" s="11" t="s">
        <v>3</v>
      </c>
      <c r="B91" s="11"/>
      <c r="C91">
        <v>10</v>
      </c>
      <c r="D91" s="2">
        <v>0</v>
      </c>
      <c r="E91" t="s">
        <v>13</v>
      </c>
      <c r="F91">
        <f t="shared" si="17"/>
        <v>10</v>
      </c>
      <c r="G91">
        <f>RADIANS(C91+D91/60)</f>
        <v>0.17453292519943295</v>
      </c>
      <c r="L91">
        <v>70</v>
      </c>
      <c r="M91" t="s">
        <v>13</v>
      </c>
      <c r="N91" s="10">
        <f t="shared" si="11"/>
        <v>59.544970737736548</v>
      </c>
      <c r="O91" s="5">
        <f t="shared" si="15"/>
        <v>59</v>
      </c>
      <c r="P91" s="4">
        <f t="shared" si="16"/>
        <v>32.698244264192908</v>
      </c>
      <c r="Q91" t="s">
        <v>7</v>
      </c>
      <c r="R91">
        <f t="shared" si="13"/>
        <v>303.86294437336301</v>
      </c>
      <c r="S91">
        <f t="shared" si="14"/>
        <v>89.307225760950459</v>
      </c>
    </row>
    <row r="92" spans="1:19" x14ac:dyDescent="0.25">
      <c r="L92">
        <v>60</v>
      </c>
      <c r="M92" t="s">
        <v>13</v>
      </c>
      <c r="N92" s="10">
        <f t="shared" si="11"/>
        <v>59.606203662921708</v>
      </c>
      <c r="O92" s="5">
        <f t="shared" si="15"/>
        <v>59</v>
      </c>
      <c r="P92" s="4">
        <f t="shared" si="16"/>
        <v>36.372219775302455</v>
      </c>
      <c r="Q92" t="s">
        <v>7</v>
      </c>
      <c r="R92">
        <f t="shared" si="13"/>
        <v>309.75229354264241</v>
      </c>
      <c r="S92">
        <f>DEGREES(ATAN((L92-L93)*60*COS(RADIANS((N92+N93)/2))/((N93-N92)*60)))+180</f>
        <v>97.943192383960522</v>
      </c>
    </row>
    <row r="93" spans="1:19" x14ac:dyDescent="0.25">
      <c r="L93">
        <v>50</v>
      </c>
      <c r="M93" t="s">
        <v>13</v>
      </c>
      <c r="N93" s="10">
        <f t="shared" si="11"/>
        <v>58.892786301225904</v>
      </c>
      <c r="O93" s="5">
        <f t="shared" si="15"/>
        <v>58</v>
      </c>
      <c r="P93" s="4">
        <f t="shared" si="16"/>
        <v>53.567178073554231</v>
      </c>
      <c r="Q93" t="s">
        <v>7</v>
      </c>
      <c r="R93">
        <f t="shared" si="13"/>
        <v>330.61071422487788</v>
      </c>
      <c r="S93">
        <f>DEGREES(ATAN((L93-L94)*60*COS(RADIANS((N93+N94)/2))/((N94-N93)*60)))+180</f>
        <v>106.51202385977126</v>
      </c>
    </row>
    <row r="94" spans="1:19" x14ac:dyDescent="0.25">
      <c r="B94" s="4">
        <f>ACOS(SIN(G87)*SIN(G90)+COS(G87)*COS(G90)*COS(G91-G88))</f>
        <v>1.0897029247137262</v>
      </c>
      <c r="C94">
        <f>DEGREES(ACOS(SIN(G87)*SIN(G90)+COS(G87)*COS(G90)*COS(G91-G88)))*60</f>
        <v>3746.1227105495163</v>
      </c>
      <c r="L94">
        <v>40</v>
      </c>
      <c r="M94" t="s">
        <v>13</v>
      </c>
      <c r="N94" s="10">
        <f t="shared" si="11"/>
        <v>57.326702344465225</v>
      </c>
      <c r="O94" s="5">
        <f t="shared" si="15"/>
        <v>57</v>
      </c>
      <c r="P94" s="4">
        <f t="shared" si="16"/>
        <v>19.602140667913517</v>
      </c>
      <c r="Q94" t="s">
        <v>7</v>
      </c>
      <c r="R94">
        <f t="shared" si="13"/>
        <v>369.71829507995392</v>
      </c>
      <c r="S94">
        <f>DEGREES(ATAN((L94-L95)*60*COS(RADIANS((N94+N95)/2))/((N95-N94)*60)))+180</f>
        <v>114.92901182262464</v>
      </c>
    </row>
    <row r="95" spans="1:19" x14ac:dyDescent="0.25">
      <c r="B95" t="s">
        <v>18</v>
      </c>
      <c r="C95" s="7">
        <f>-DEGREES(ASIN(SIN(G91-G88)*COS(G90)/SIN(B94)))</f>
        <v>51.76973980701684</v>
      </c>
      <c r="L95">
        <v>30</v>
      </c>
      <c r="M95" t="s">
        <v>13</v>
      </c>
      <c r="N95" s="10">
        <f t="shared" si="11"/>
        <v>54.729461867861431</v>
      </c>
      <c r="O95" s="5">
        <f t="shared" si="15"/>
        <v>54</v>
      </c>
      <c r="P95" s="4">
        <f t="shared" si="16"/>
        <v>43.767712071685878</v>
      </c>
      <c r="Q95" t="s">
        <v>7</v>
      </c>
      <c r="R95">
        <f t="shared" si="13"/>
        <v>433.35172417266517</v>
      </c>
      <c r="S95">
        <f>DEGREES(ATAN((L95-L96)*60*COS(RADIANS((N95+N96)/2))/((N96-N95)*60)))+180</f>
        <v>123.08067032741594</v>
      </c>
    </row>
    <row r="96" spans="1:19" x14ac:dyDescent="0.25">
      <c r="B96" t="s">
        <v>19</v>
      </c>
      <c r="C96" s="6">
        <f>DEGREES(ASIN(SIN(G91-G88)*COS(G87)/SIN(B94)))+180</f>
        <v>134.4323495258908</v>
      </c>
      <c r="L96">
        <v>20</v>
      </c>
      <c r="M96" t="s">
        <v>13</v>
      </c>
      <c r="N96" s="10">
        <f t="shared" si="11"/>
        <v>50.787266203827379</v>
      </c>
      <c r="O96" s="5">
        <f t="shared" si="15"/>
        <v>50</v>
      </c>
      <c r="P96" s="4">
        <f t="shared" si="16"/>
        <v>47.235972229642726</v>
      </c>
      <c r="Q96" t="s">
        <v>7</v>
      </c>
      <c r="R96">
        <f t="shared" si="13"/>
        <v>531.43436751171703</v>
      </c>
      <c r="S96">
        <f>DEGREES(ATAN((L96-L97)*60*COS(RADIANS((N96+N97)/2))/((N97-N96)*60)))+180</f>
        <v>130.79797859761194</v>
      </c>
    </row>
    <row r="97" spans="1:18" x14ac:dyDescent="0.25">
      <c r="C97" t="s">
        <v>20</v>
      </c>
      <c r="D97" t="s">
        <v>14</v>
      </c>
      <c r="E97" t="s">
        <v>15</v>
      </c>
      <c r="I97">
        <f>(F87-F90)*60</f>
        <v>300</v>
      </c>
      <c r="L97">
        <v>10</v>
      </c>
      <c r="M97" t="s">
        <v>13</v>
      </c>
      <c r="N97" s="10">
        <f t="shared" si="11"/>
        <v>45.000000000000007</v>
      </c>
      <c r="O97" s="5">
        <f t="shared" si="15"/>
        <v>45</v>
      </c>
      <c r="P97" s="4">
        <f t="shared" si="16"/>
        <v>4.2632564145606011E-13</v>
      </c>
      <c r="Q97" t="s">
        <v>7</v>
      </c>
    </row>
    <row r="98" spans="1:18" x14ac:dyDescent="0.25">
      <c r="C98">
        <f>DEGREES(ACOS(ABS(COS(G87)*SIN(RADIANS(C95)))))</f>
        <v>59.6733563427645</v>
      </c>
      <c r="D98">
        <f>ROUNDDOWN(C98,0)</f>
        <v>59</v>
      </c>
      <c r="E98" s="4">
        <f>(C98-D98)*60</f>
        <v>40.401380565869971</v>
      </c>
      <c r="G98">
        <f>(C88-C91)*60</f>
        <v>6000</v>
      </c>
      <c r="H98">
        <f>COS((G90+G87)/2)</f>
        <v>0.67559020761566035</v>
      </c>
      <c r="I98">
        <f>G98*H98</f>
        <v>4053.5412456939621</v>
      </c>
      <c r="K98">
        <f>ACOS((I98/C101))</f>
        <v>7.3874678060640075E-2</v>
      </c>
      <c r="Q98" t="s">
        <v>23</v>
      </c>
      <c r="R98" s="4">
        <f>SUM(R87:R96)</f>
        <v>3750.7881125840267</v>
      </c>
    </row>
    <row r="99" spans="1:18" x14ac:dyDescent="0.25">
      <c r="C99">
        <f>110-DEGREES(_xlfn.ACOT(SIN(G87)*TAN(RADIANS(C95))))</f>
        <v>64.198649126477321</v>
      </c>
      <c r="D99">
        <f>ROUNDDOWN(C99,0)</f>
        <v>64</v>
      </c>
      <c r="E99" s="4">
        <f>(C99-D99)*60</f>
        <v>11.918947588639242</v>
      </c>
      <c r="I99">
        <f>(I98/I97)</f>
        <v>13.511804152313207</v>
      </c>
    </row>
    <row r="101" spans="1:18" x14ac:dyDescent="0.25">
      <c r="C101" s="4">
        <f>DEGREES((((G91-G88)*COS((G87+G90)/2))^2+(G90-G87)^2)^(1/2))*60</f>
        <v>4064.6274897636263</v>
      </c>
      <c r="D101" s="5">
        <f>C101/60</f>
        <v>67.743791496060439</v>
      </c>
      <c r="E101" s="7">
        <f>180-DEGREES(ATAN(I99))</f>
        <v>94.232707265762357</v>
      </c>
    </row>
    <row r="102" spans="1:18" x14ac:dyDescent="0.25">
      <c r="A102" t="s">
        <v>16</v>
      </c>
    </row>
    <row r="103" spans="1:18" x14ac:dyDescent="0.25">
      <c r="A103" s="11" t="s">
        <v>2</v>
      </c>
      <c r="B103" s="11"/>
      <c r="C103">
        <v>45</v>
      </c>
      <c r="D103">
        <v>0</v>
      </c>
      <c r="E103" t="s">
        <v>7</v>
      </c>
      <c r="F103">
        <f>C103+D103/60</f>
        <v>45</v>
      </c>
      <c r="G103">
        <f t="shared" ref="G103:G104" si="18">RADIANS(C103+D103/60)</f>
        <v>0.78539816339744828</v>
      </c>
    </row>
    <row r="104" spans="1:18" x14ac:dyDescent="0.25">
      <c r="A104" s="11" t="s">
        <v>3</v>
      </c>
      <c r="B104" s="11"/>
      <c r="C104">
        <v>50</v>
      </c>
      <c r="D104">
        <v>0</v>
      </c>
      <c r="E104" t="s">
        <v>9</v>
      </c>
      <c r="F104">
        <f t="shared" ref="F104" si="19">C104+D104/60</f>
        <v>50</v>
      </c>
      <c r="G104">
        <f t="shared" si="18"/>
        <v>0.87266462599716477</v>
      </c>
    </row>
    <row r="105" spans="1:18" x14ac:dyDescent="0.25">
      <c r="A105" s="3"/>
      <c r="B105" s="3"/>
    </row>
    <row r="106" spans="1:18" x14ac:dyDescent="0.25">
      <c r="A106" s="3"/>
      <c r="B106" s="3">
        <f>ACOS(SIN(G87)*SIN(G103)+COS(G87)*COS(G103)*COS(G104-G88))</f>
        <v>0.69362272603003872</v>
      </c>
      <c r="C106" s="4">
        <f>DEGREES(ACOS(SIN(G87)*SIN(G103)+COS(G87)*COS(G103)*COS(G104-G88)))*60</f>
        <v>2384.4992865528125</v>
      </c>
    </row>
    <row r="107" spans="1:18" x14ac:dyDescent="0.25">
      <c r="A107" s="11"/>
      <c r="B107" s="11"/>
      <c r="C107" s="5">
        <f>DEGREES(ASIN(SIN(G104-G88)*COS(G103)/SIN(B106)))</f>
        <v>-73.303319207142025</v>
      </c>
      <c r="D107" s="2"/>
    </row>
    <row r="108" spans="1:18" x14ac:dyDescent="0.25">
      <c r="C108" s="5">
        <f>DEGREES(ASIN(SIN(G88-G104)*COS(G87)/SIN(B106)))+180</f>
        <v>240.54161135574901</v>
      </c>
    </row>
    <row r="109" spans="1:18" x14ac:dyDescent="0.25">
      <c r="A109" s="3"/>
      <c r="B109" s="3">
        <f>ACOS(SIN(G103)*SIN(G90)+COS(G103)*COS(G90)*COS(G104-G91))</f>
        <v>0.48853320359122954</v>
      </c>
      <c r="C109" s="4">
        <f>DEGREES(ACOS(SIN(G103)*SIN(G90)+COS(G103)*COS(G90)*COS(G91-G104)))*60</f>
        <v>1679.4534430669705</v>
      </c>
    </row>
    <row r="110" spans="1:18" x14ac:dyDescent="0.25">
      <c r="A110" s="11"/>
      <c r="B110" s="11"/>
      <c r="C110" s="5">
        <f>DEGREES(ASIN(SIN(G91-G104)*COS(G90)/SIN(B109)))</f>
        <v>-75.567244956732509</v>
      </c>
      <c r="D110" s="5"/>
    </row>
    <row r="111" spans="1:18" x14ac:dyDescent="0.25">
      <c r="C111" s="5">
        <f>DEGREES(ASIN(SIN(G104-G91)*COS(G103)/SIN(B109)))+180</f>
        <v>255.56724495673251</v>
      </c>
      <c r="D111" s="5"/>
    </row>
    <row r="112" spans="1:18" x14ac:dyDescent="0.25">
      <c r="C112" s="4">
        <f>C106+C109</f>
        <v>4063.952729619783</v>
      </c>
    </row>
    <row r="115" spans="1:7" x14ac:dyDescent="0.25">
      <c r="A115" s="11" t="s">
        <v>1</v>
      </c>
      <c r="B115" s="11"/>
      <c r="C115" t="s">
        <v>5</v>
      </c>
      <c r="D115" t="s">
        <v>6</v>
      </c>
      <c r="E115" t="s">
        <v>8</v>
      </c>
    </row>
    <row r="116" spans="1:7" x14ac:dyDescent="0.25">
      <c r="A116" s="11" t="s">
        <v>2</v>
      </c>
      <c r="B116" s="11"/>
      <c r="C116">
        <v>50</v>
      </c>
      <c r="D116">
        <v>0</v>
      </c>
      <c r="E116" t="s">
        <v>7</v>
      </c>
      <c r="F116">
        <f>C116+D116/60</f>
        <v>50</v>
      </c>
      <c r="G116">
        <f t="shared" ref="G116:G117" si="20">RADIANS(C116+D116/60)</f>
        <v>0.87266462599716477</v>
      </c>
    </row>
    <row r="117" spans="1:7" x14ac:dyDescent="0.25">
      <c r="A117" s="11" t="s">
        <v>3</v>
      </c>
      <c r="B117" s="11"/>
      <c r="C117">
        <v>110</v>
      </c>
      <c r="D117">
        <v>0</v>
      </c>
      <c r="E117" t="s">
        <v>13</v>
      </c>
      <c r="F117">
        <f t="shared" ref="F117" si="21">C117+D117/60</f>
        <v>110</v>
      </c>
      <c r="G117">
        <f t="shared" si="20"/>
        <v>1.9198621771937625</v>
      </c>
    </row>
    <row r="118" spans="1:7" x14ac:dyDescent="0.25">
      <c r="A118" s="3" t="s">
        <v>4</v>
      </c>
      <c r="B118" s="3"/>
    </row>
    <row r="119" spans="1:7" x14ac:dyDescent="0.25">
      <c r="A119" s="11" t="s">
        <v>2</v>
      </c>
      <c r="B119" s="11"/>
      <c r="C119">
        <v>45</v>
      </c>
      <c r="D119">
        <v>0</v>
      </c>
      <c r="E119" t="s">
        <v>7</v>
      </c>
      <c r="F119">
        <f t="shared" ref="F119:F120" si="22">C119+D119/60</f>
        <v>45</v>
      </c>
      <c r="G119">
        <f>RADIANS(C119+D119/60)</f>
        <v>0.78539816339744828</v>
      </c>
    </row>
    <row r="120" spans="1:7" x14ac:dyDescent="0.25">
      <c r="A120" s="11" t="s">
        <v>3</v>
      </c>
      <c r="B120" s="11"/>
      <c r="C120">
        <v>10</v>
      </c>
      <c r="D120" s="2">
        <v>0</v>
      </c>
      <c r="E120" t="s">
        <v>13</v>
      </c>
      <c r="F120">
        <f t="shared" si="22"/>
        <v>10</v>
      </c>
      <c r="G120">
        <f>RADIANS(C120+D120/60)</f>
        <v>0.17453292519943295</v>
      </c>
    </row>
    <row r="121" spans="1:7" x14ac:dyDescent="0.25">
      <c r="A121" s="11" t="s">
        <v>0</v>
      </c>
      <c r="B121" s="11"/>
      <c r="C121" t="s">
        <v>5</v>
      </c>
      <c r="D121" t="s">
        <v>6</v>
      </c>
      <c r="E121" t="s">
        <v>8</v>
      </c>
    </row>
    <row r="122" spans="1:7" x14ac:dyDescent="0.25">
      <c r="A122" s="11" t="s">
        <v>2</v>
      </c>
      <c r="B122" s="11"/>
      <c r="C122">
        <v>45</v>
      </c>
      <c r="D122">
        <v>0</v>
      </c>
      <c r="E122" t="s">
        <v>7</v>
      </c>
      <c r="F122">
        <f>C122+D122/60</f>
        <v>45</v>
      </c>
      <c r="G122">
        <f t="shared" ref="G122:G123" si="23">RADIANS(C122+D122/60)</f>
        <v>0.78539816339744828</v>
      </c>
    </row>
    <row r="123" spans="1:7" x14ac:dyDescent="0.25">
      <c r="A123" s="11" t="s">
        <v>3</v>
      </c>
      <c r="B123" s="11"/>
      <c r="C123">
        <f>ROUNDDOWN((C99-DEGREES(ACOS(TAN(G122)/TAN(RADIANS(C98))))),0)</f>
        <v>9</v>
      </c>
      <c r="D123" s="4">
        <f>((C99-DEGREES(ACOS(TAN(G122)/TAN(RADIANS(C98)))))-C123)*60</f>
        <v>59.999999999999574</v>
      </c>
      <c r="E123" t="s">
        <v>9</v>
      </c>
      <c r="F123">
        <f t="shared" ref="F123" si="24">C123+D123/60</f>
        <v>9.9999999999999929</v>
      </c>
      <c r="G123">
        <f t="shared" si="23"/>
        <v>0.17453292519943284</v>
      </c>
    </row>
    <row r="124" spans="1:7" x14ac:dyDescent="0.25">
      <c r="A124" s="3" t="s">
        <v>17</v>
      </c>
      <c r="B124" s="3"/>
    </row>
    <row r="125" spans="1:7" x14ac:dyDescent="0.25">
      <c r="A125" s="11" t="s">
        <v>2</v>
      </c>
      <c r="B125" s="11"/>
      <c r="C125">
        <v>45</v>
      </c>
      <c r="D125">
        <v>0</v>
      </c>
      <c r="E125" t="s">
        <v>7</v>
      </c>
      <c r="F125">
        <f t="shared" ref="F125:F126" si="25">C125+D125/60</f>
        <v>45</v>
      </c>
      <c r="G125">
        <f t="shared" ref="G125:G126" si="26">RADIANS(C125+D125/60)</f>
        <v>0.78539816339744828</v>
      </c>
    </row>
    <row r="126" spans="1:7" x14ac:dyDescent="0.25">
      <c r="A126" s="11" t="s">
        <v>3</v>
      </c>
      <c r="B126" s="11"/>
      <c r="C126">
        <f>ROUNDDOWN((C99+DEGREES(ACOS(TAN(G122)/TAN(RADIANS(C98))))),0)</f>
        <v>118</v>
      </c>
      <c r="D126" s="9">
        <f>((C99+DEGREES(ACOS(TAN(G122)/TAN(RADIANS(C98)))))-C126)*60</f>
        <v>23.837895177278483</v>
      </c>
      <c r="E126" t="s">
        <v>9</v>
      </c>
      <c r="F126">
        <f t="shared" si="25"/>
        <v>118.39729825295464</v>
      </c>
      <c r="G126">
        <f t="shared" si="26"/>
        <v>2.0664226799797887</v>
      </c>
    </row>
    <row r="129" spans="1:3" x14ac:dyDescent="0.25">
      <c r="A129" s="3"/>
      <c r="B129" s="3">
        <f>ACOS(SIN(G116)*SIN(G122)+COS(G116)*COS(G122)*COS(G123-G117))</f>
        <v>1.0897029247137264</v>
      </c>
      <c r="C129" s="8">
        <f>DEGREES(ACOS(SIN(G116)*SIN(G122)+COS(G116)*COS(G122)*COS(G123-G117)))*60</f>
        <v>3746.1227105495173</v>
      </c>
    </row>
    <row r="130" spans="1:3" x14ac:dyDescent="0.25">
      <c r="A130" s="11"/>
      <c r="B130" s="11"/>
      <c r="C130" s="4">
        <f>DEGREES(ASIN(SIN(G123)*COS(G122)/SIN(B129)))</f>
        <v>7.961645051018678</v>
      </c>
    </row>
    <row r="131" spans="1:3" x14ac:dyDescent="0.25">
      <c r="C131" s="4">
        <f>-DEGREES(ASIN(SIN(G117-G123)*COS(G116)/SIN(B129)))</f>
        <v>-45.567650474109179</v>
      </c>
    </row>
    <row r="132" spans="1:3" x14ac:dyDescent="0.25">
      <c r="A132" s="3"/>
      <c r="B132" s="3"/>
      <c r="C132" s="4">
        <f>ABS(F126-F123)*60</f>
        <v>6503.8378951772784</v>
      </c>
    </row>
    <row r="133" spans="1:3" x14ac:dyDescent="0.25">
      <c r="A133" s="11"/>
      <c r="B133" s="11"/>
      <c r="C133" s="5" t="e">
        <f>DEGREES(ASIN(SIN(G114-G127)*COS(G113)/SIN(B132)))</f>
        <v>#DIV/0!</v>
      </c>
    </row>
    <row r="134" spans="1:3" x14ac:dyDescent="0.25">
      <c r="C134" s="5" t="e">
        <f>DEGREES(ASIN(SIN(G127-G114)*COS(G126)/SIN(B132)))+180</f>
        <v>#DIV/0!</v>
      </c>
    </row>
    <row r="135" spans="1:3" x14ac:dyDescent="0.25">
      <c r="A135" s="3"/>
      <c r="B135" s="3">
        <f>ACOS(SIN(G119)*SIN(G125)+COS(G119)*COS(G125)*COS(G126-G120))</f>
        <v>1.221541354633646</v>
      </c>
      <c r="C135" s="4">
        <f>DEGREES(ACOS(SIN(G119)*SIN(G125)+COS(G119)*COS(G125)*COS(G126-G120)))*60</f>
        <v>4199.3498472720767</v>
      </c>
    </row>
    <row r="136" spans="1:3" x14ac:dyDescent="0.25">
      <c r="A136" s="11"/>
      <c r="B136" s="11"/>
      <c r="C136" s="4">
        <f>DEGREES(ASIN(SIN(G126-G120)*COS(G119)/SIN(B135)))+180</f>
        <v>225.5676504741092</v>
      </c>
    </row>
    <row r="137" spans="1:3" x14ac:dyDescent="0.25">
      <c r="C137" s="4">
        <f>-(DEGREES(ASIN(SIN(-(G126-G120))*COS(G125)/SIN(B135)))-180)</f>
        <v>225.5676504741092</v>
      </c>
    </row>
    <row r="141" spans="1:3" x14ac:dyDescent="0.25">
      <c r="C141" s="4">
        <f>C129+C132</f>
        <v>10249.960605726796</v>
      </c>
    </row>
    <row r="1048576" spans="6:37" x14ac:dyDescent="0.25">
      <c r="F1048576" s="1"/>
      <c r="G1048576" s="1"/>
      <c r="H1048576" s="1"/>
      <c r="I1048576" s="1"/>
      <c r="J1048576" s="1"/>
      <c r="K1048576" s="1"/>
      <c r="L1048576" s="1"/>
      <c r="M1048576" s="1"/>
      <c r="N1048576" s="1"/>
      <c r="O1048576" s="1"/>
      <c r="P1048576" s="1"/>
      <c r="Q1048576" s="1"/>
      <c r="R1048576" s="1"/>
      <c r="S1048576" s="1"/>
      <c r="T1048576" s="1"/>
      <c r="U1048576" s="1" t="s">
        <v>0</v>
      </c>
      <c r="V1048576" s="1"/>
      <c r="W1048576" s="1"/>
      <c r="X1048576" s="1"/>
      <c r="Y1048576" s="1"/>
      <c r="Z1048576" s="1"/>
      <c r="AA1048576" s="1"/>
      <c r="AB1048576" s="1"/>
      <c r="AC1048576" s="1"/>
      <c r="AD1048576" s="1"/>
      <c r="AE1048576" s="1"/>
      <c r="AF1048576" s="1"/>
      <c r="AG1048576" s="1"/>
      <c r="AH1048576" s="1"/>
      <c r="AI1048576" s="1"/>
      <c r="AJ1048576" s="1"/>
      <c r="AK1048576" s="1"/>
    </row>
  </sheetData>
  <mergeCells count="46">
    <mergeCell ref="K27:L27"/>
    <mergeCell ref="K20:L20"/>
    <mergeCell ref="K22:L22"/>
    <mergeCell ref="K23:L23"/>
    <mergeCell ref="K25:L25"/>
    <mergeCell ref="K26:L26"/>
    <mergeCell ref="K8:L8"/>
    <mergeCell ref="K9:L9"/>
    <mergeCell ref="K10:L10"/>
    <mergeCell ref="K18:L18"/>
    <mergeCell ref="K19:L19"/>
    <mergeCell ref="K1:L1"/>
    <mergeCell ref="K2:L2"/>
    <mergeCell ref="K3:L3"/>
    <mergeCell ref="K5:L5"/>
    <mergeCell ref="K6:L6"/>
    <mergeCell ref="A10:B10"/>
    <mergeCell ref="A8:B8"/>
    <mergeCell ref="A9:B9"/>
    <mergeCell ref="A1:B1"/>
    <mergeCell ref="A2:B2"/>
    <mergeCell ref="A3:B3"/>
    <mergeCell ref="A5:B5"/>
    <mergeCell ref="A6:B6"/>
    <mergeCell ref="A86:B86"/>
    <mergeCell ref="A87:B87"/>
    <mergeCell ref="A88:B88"/>
    <mergeCell ref="A90:B90"/>
    <mergeCell ref="A91:B91"/>
    <mergeCell ref="A115:B115"/>
    <mergeCell ref="A117:B117"/>
    <mergeCell ref="A119:B119"/>
    <mergeCell ref="A103:B103"/>
    <mergeCell ref="A104:B104"/>
    <mergeCell ref="A107:B107"/>
    <mergeCell ref="A110:B110"/>
    <mergeCell ref="A120:B120"/>
    <mergeCell ref="A122:B122"/>
    <mergeCell ref="A123:B123"/>
    <mergeCell ref="A116:B116"/>
    <mergeCell ref="A121:B121"/>
    <mergeCell ref="A136:B136"/>
    <mergeCell ref="A125:B125"/>
    <mergeCell ref="A126:B126"/>
    <mergeCell ref="A130:B130"/>
    <mergeCell ref="A133:B1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</dc:creator>
  <cp:lastModifiedBy>KN</cp:lastModifiedBy>
  <dcterms:created xsi:type="dcterms:W3CDTF">2025-10-08T08:35:45Z</dcterms:created>
  <dcterms:modified xsi:type="dcterms:W3CDTF">2025-12-03T10:05:07Z</dcterms:modified>
</cp:coreProperties>
</file>